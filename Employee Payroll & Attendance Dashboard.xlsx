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44" windowHeight="9000" activeTab="2"/>
  </bookViews>
  <sheets>
    <sheet name="DATA" sheetId="1" r:id="rId1"/>
    <sheet name="Payroll" sheetId="3" r:id="rId2"/>
    <sheet name="Dashboar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<sst xmlns="http://schemas.openxmlformats.org/spreadsheetml/2006/main" count="171" uniqueCount="126">
  <si>
    <t>Employee ID</t>
  </si>
  <si>
    <t>Name</t>
  </si>
  <si>
    <t>Department</t>
  </si>
  <si>
    <t>Basic Salary</t>
  </si>
  <si>
    <t>Days Present</t>
  </si>
  <si>
    <t>Days Absent</t>
  </si>
  <si>
    <t>EMP001</t>
  </si>
  <si>
    <t>Charlot Imlaw</t>
  </si>
  <si>
    <t>Product Management</t>
  </si>
  <si>
    <t>EMP002</t>
  </si>
  <si>
    <t>Amelie Wegener</t>
  </si>
  <si>
    <t>Business Development</t>
  </si>
  <si>
    <t>EMP003</t>
  </si>
  <si>
    <t>Rahel Bohin</t>
  </si>
  <si>
    <t>Training</t>
  </si>
  <si>
    <t>EMP004</t>
  </si>
  <si>
    <t>Kimberlyn Ghilks</t>
  </si>
  <si>
    <t>Sales</t>
  </si>
  <si>
    <t>EMP005</t>
  </si>
  <si>
    <t>Dorris Haitlie</t>
  </si>
  <si>
    <t>EMP006</t>
  </si>
  <si>
    <t>Lombard Casewell</t>
  </si>
  <si>
    <t>Services</t>
  </si>
  <si>
    <t>EMP007</t>
  </si>
  <si>
    <t>Thain Morena</t>
  </si>
  <si>
    <t>EMP008</t>
  </si>
  <si>
    <t>Myrah Kimmons</t>
  </si>
  <si>
    <t>EMP009</t>
  </si>
  <si>
    <t>Nico Traylen</t>
  </si>
  <si>
    <t>Support</t>
  </si>
  <si>
    <t>EMP010</t>
  </si>
  <si>
    <t>Jed Bridle</t>
  </si>
  <si>
    <t>EMP011</t>
  </si>
  <si>
    <t>Nolie Rhoades</t>
  </si>
  <si>
    <t>Legal</t>
  </si>
  <si>
    <t>EMP012</t>
  </si>
  <si>
    <t>Zelig Turri</t>
  </si>
  <si>
    <t>EMP013</t>
  </si>
  <si>
    <t>Nikos Shipsey</t>
  </si>
  <si>
    <t>EMP014</t>
  </si>
  <si>
    <t>Jeniffer Rickets</t>
  </si>
  <si>
    <t>Engineering</t>
  </si>
  <si>
    <t>EMP015</t>
  </si>
  <si>
    <t>Rivy Binney</t>
  </si>
  <si>
    <t>EMP016</t>
  </si>
  <si>
    <t>Kippar Clappson</t>
  </si>
  <si>
    <t>Research and Development</t>
  </si>
  <si>
    <t>EMP017</t>
  </si>
  <si>
    <t>Arnaldo Darnell</t>
  </si>
  <si>
    <t>EMP018</t>
  </si>
  <si>
    <t>Emalia Franzini</t>
  </si>
  <si>
    <t>EMP019</t>
  </si>
  <si>
    <t>Geraldine Gilffilland</t>
  </si>
  <si>
    <t>EMP020</t>
  </si>
  <si>
    <t>Pietrek Ianittello</t>
  </si>
  <si>
    <t>EMP021</t>
  </si>
  <si>
    <t>Kahaleel Dubery</t>
  </si>
  <si>
    <t>EMP022</t>
  </si>
  <si>
    <t>Jessey Pittham</t>
  </si>
  <si>
    <t>EMP023</t>
  </si>
  <si>
    <t>Clemmy Ferries</t>
  </si>
  <si>
    <t>EMP024</t>
  </si>
  <si>
    <t>Reynolds Veryan</t>
  </si>
  <si>
    <t>EMP025</t>
  </si>
  <si>
    <t>Mohammed Cattrall</t>
  </si>
  <si>
    <t>EMP026</t>
  </si>
  <si>
    <t>Ainslee Smedley</t>
  </si>
  <si>
    <t>EMP027</t>
  </si>
  <si>
    <t>Tabby Behning</t>
  </si>
  <si>
    <t>EMP028</t>
  </si>
  <si>
    <t>Sherie McReynolds</t>
  </si>
  <si>
    <t>EMP029</t>
  </si>
  <si>
    <t>Leticia Mattingley</t>
  </si>
  <si>
    <t>EMP030</t>
  </si>
  <si>
    <t>Ivette Procter</t>
  </si>
  <si>
    <t>EMP031</t>
  </si>
  <si>
    <t>Cahra Duprey</t>
  </si>
  <si>
    <t>Accounting</t>
  </si>
  <si>
    <t>EMP032</t>
  </si>
  <si>
    <t>Skylar Rennolds</t>
  </si>
  <si>
    <t>EMP033</t>
  </si>
  <si>
    <t>Vin Lisciandri</t>
  </si>
  <si>
    <t>EMP034</t>
  </si>
  <si>
    <t>Norina Arthur</t>
  </si>
  <si>
    <t>EMP035</t>
  </si>
  <si>
    <t>Bran Rothman</t>
  </si>
  <si>
    <t>EMP036</t>
  </si>
  <si>
    <t>Ynez Crumley</t>
  </si>
  <si>
    <t>EMP037</t>
  </si>
  <si>
    <t>Rory Tomsen</t>
  </si>
  <si>
    <t>EMP038</t>
  </si>
  <si>
    <t>Charity Iveans</t>
  </si>
  <si>
    <t>EMP039</t>
  </si>
  <si>
    <t>Virge Haughey</t>
  </si>
  <si>
    <t>Human Resources</t>
  </si>
  <si>
    <t>EMP040</t>
  </si>
  <si>
    <t>Philippine Edney</t>
  </si>
  <si>
    <t>EMP041</t>
  </si>
  <si>
    <t>Faydra Cayle</t>
  </si>
  <si>
    <t>EMP042</t>
  </si>
  <si>
    <t>Anya Yeardsley</t>
  </si>
  <si>
    <t>EMP043</t>
  </si>
  <si>
    <t>Dale Duesberry</t>
  </si>
  <si>
    <t>EMP044</t>
  </si>
  <si>
    <t>Bryan Noice</t>
  </si>
  <si>
    <t>EMP045</t>
  </si>
  <si>
    <t>Freemon Penhalewick</t>
  </si>
  <si>
    <t>EMP046</t>
  </si>
  <si>
    <t>Jo ann Tolliday</t>
  </si>
  <si>
    <t>EMP047</t>
  </si>
  <si>
    <t>Clareta Sexstone</t>
  </si>
  <si>
    <t>EMP048</t>
  </si>
  <si>
    <t>Pammy Halbord</t>
  </si>
  <si>
    <t>EMP049</t>
  </si>
  <si>
    <t>Isidro Predohl</t>
  </si>
  <si>
    <t>EMP050</t>
  </si>
  <si>
    <t>Beltran Syddie</t>
  </si>
  <si>
    <t>Total Working Days</t>
  </si>
  <si>
    <t>Per Day Salary</t>
  </si>
  <si>
    <t>Deduction</t>
  </si>
  <si>
    <t>Net Salary</t>
  </si>
  <si>
    <t>Total Employees</t>
  </si>
  <si>
    <t>Total Basic Salary</t>
  </si>
  <si>
    <t>Total Net Salary Paid</t>
  </si>
  <si>
    <t>Average Salary</t>
  </si>
  <si>
    <t>Total Present 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</si>
</sst>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name val="Arial"/>
      <charset val="134"/>
    </font>
    <font>
      <i/>
      <sz val="12"/>
      <name val="Arial"/>
      <charset val="134"/>
    </font>
    <font>
      <b/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Employees by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2686334264721"/>
          <c:y val="0.245235195545284"/>
          <c:w val="0.389868421617307"/>
          <c:h val="0.68587963062304"/>
        </c:manualLayout>
      </c:layout>
      <c:pie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{"Accounting","Business Development","Engineering","Human Resources","Legal","Product Management","Research and Development","Sales","Services","Support","Training"}</c:f>
              <c:strCache>
                <c:ptCount val="11"/>
                <c:pt idx="0">
                  <c:v>Accounting</c:v>
                </c:pt>
                <c:pt idx="1">
                  <c:v>Business Development</c:v>
                </c:pt>
                <c:pt idx="2">
                  <c:v>Engineering</c:v>
                </c:pt>
                <c:pt idx="3">
                  <c:v>Human Resources</c:v>
                </c:pt>
                <c:pt idx="4">
                  <c:v>Legal</c:v>
                </c:pt>
                <c:pt idx="5">
                  <c:v>Product Management</c:v>
                </c:pt>
                <c:pt idx="6">
                  <c:v>Research and Development</c:v>
                </c:pt>
                <c:pt idx="7">
                  <c:v>Sales</c:v>
                </c:pt>
                <c:pt idx="8">
                  <c:v>Services</c:v>
                </c:pt>
                <c:pt idx="9">
                  <c:v>Support</c:v>
                </c:pt>
                <c:pt idx="10">
                  <c:v>Training</c:v>
                </c:pt>
              </c:strCache>
            </c:strRef>
          </c:cat>
          <c:val>
            <c:numRef>
              <c:f>{2,7,6,1,2,4,4,8,8,5,3}</c:f>
              <c:numCache>
                <c:formatCode>General</c:formatCode>
                <c:ptCount val="11"/>
                <c:pt idx="0">
                  <c:v>2</c:v>
                </c:pt>
                <c:pt idx="1">
                  <c:v>7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8</c:v>
                </c:pt>
                <c:pt idx="8">
                  <c:v>8</c:v>
                </c:pt>
                <c:pt idx="9">
                  <c:v>5</c:v>
                </c:pt>
                <c:pt idx="10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79140461215933"/>
          <c:y val="0.135844748858447"/>
          <c:w val="0.411687631027254"/>
          <c:h val="0.75799086757990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062be2-242f-4796-b1c2-7ba0128cb2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Basic Salary vs Net Salary</a:t>
            </a:r>
            <a:endParaRPr lang="en-IN" altLang="en-GB"/>
          </a:p>
        </c:rich>
      </c:tx>
      <c:layout>
        <c:manualLayout>
          <c:xMode val="edge"/>
          <c:yMode val="edge"/>
          <c:x val="0.412960526315789"/>
          <c:y val="0.052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Payroll!$D$1</c:f>
              <c:strCache>
                <c:ptCount val="1"/>
                <c:pt idx="0">
                  <c:v>Basic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Payroll!$A$2:$A$50</c:f>
              <c:strCache>
                <c:ptCount val="49"/>
                <c:pt idx="0">
                  <c:v>EMP001</c:v>
                </c:pt>
                <c:pt idx="1">
                  <c:v>EMP002</c:v>
                </c:pt>
                <c:pt idx="2">
                  <c:v>EMP003</c:v>
                </c:pt>
                <c:pt idx="3">
                  <c:v>EMP004</c:v>
                </c:pt>
                <c:pt idx="4">
                  <c:v>EMP005</c:v>
                </c:pt>
                <c:pt idx="5">
                  <c:v>EMP006</c:v>
                </c:pt>
                <c:pt idx="6">
                  <c:v>EMP007</c:v>
                </c:pt>
                <c:pt idx="7">
                  <c:v>EMP008</c:v>
                </c:pt>
                <c:pt idx="8">
                  <c:v>EMP009</c:v>
                </c:pt>
                <c:pt idx="9">
                  <c:v>EMP010</c:v>
                </c:pt>
                <c:pt idx="10">
                  <c:v>EMP011</c:v>
                </c:pt>
                <c:pt idx="11">
                  <c:v>EMP012</c:v>
                </c:pt>
                <c:pt idx="12">
                  <c:v>EMP013</c:v>
                </c:pt>
                <c:pt idx="13">
                  <c:v>EMP014</c:v>
                </c:pt>
                <c:pt idx="14">
                  <c:v>EMP015</c:v>
                </c:pt>
                <c:pt idx="15">
                  <c:v>EMP016</c:v>
                </c:pt>
                <c:pt idx="16">
                  <c:v>EMP017</c:v>
                </c:pt>
                <c:pt idx="17">
                  <c:v>EMP018</c:v>
                </c:pt>
                <c:pt idx="18">
                  <c:v>EMP019</c:v>
                </c:pt>
                <c:pt idx="19">
                  <c:v>EMP020</c:v>
                </c:pt>
                <c:pt idx="20">
                  <c:v>EMP021</c:v>
                </c:pt>
                <c:pt idx="21">
                  <c:v>EMP022</c:v>
                </c:pt>
                <c:pt idx="22">
                  <c:v>EMP023</c:v>
                </c:pt>
                <c:pt idx="23">
                  <c:v>EMP024</c:v>
                </c:pt>
                <c:pt idx="24">
                  <c:v>EMP025</c:v>
                </c:pt>
                <c:pt idx="25">
                  <c:v>EMP026</c:v>
                </c:pt>
                <c:pt idx="26">
                  <c:v>EMP027</c:v>
                </c:pt>
                <c:pt idx="27">
                  <c:v>EMP028</c:v>
                </c:pt>
                <c:pt idx="28">
                  <c:v>EMP029</c:v>
                </c:pt>
                <c:pt idx="29">
                  <c:v>EMP030</c:v>
                </c:pt>
                <c:pt idx="30">
                  <c:v>EMP031</c:v>
                </c:pt>
                <c:pt idx="31">
                  <c:v>EMP032</c:v>
                </c:pt>
                <c:pt idx="32">
                  <c:v>EMP033</c:v>
                </c:pt>
                <c:pt idx="33">
                  <c:v>EMP034</c:v>
                </c:pt>
                <c:pt idx="34">
                  <c:v>EMP035</c:v>
                </c:pt>
                <c:pt idx="35">
                  <c:v>EMP036</c:v>
                </c:pt>
                <c:pt idx="36">
                  <c:v>EMP037</c:v>
                </c:pt>
                <c:pt idx="37">
                  <c:v>EMP038</c:v>
                </c:pt>
                <c:pt idx="38">
                  <c:v>EMP039</c:v>
                </c:pt>
                <c:pt idx="39">
                  <c:v>EMP040</c:v>
                </c:pt>
                <c:pt idx="40">
                  <c:v>EMP041</c:v>
                </c:pt>
                <c:pt idx="41">
                  <c:v>EMP042</c:v>
                </c:pt>
                <c:pt idx="42">
                  <c:v>EMP043</c:v>
                </c:pt>
                <c:pt idx="43">
                  <c:v>EMP044</c:v>
                </c:pt>
                <c:pt idx="44">
                  <c:v>EMP045</c:v>
                </c:pt>
                <c:pt idx="45">
                  <c:v>EMP046</c:v>
                </c:pt>
                <c:pt idx="46">
                  <c:v>EMP047</c:v>
                </c:pt>
                <c:pt idx="47">
                  <c:v>EMP048</c:v>
                </c:pt>
                <c:pt idx="48">
                  <c:v>EMP049</c:v>
                </c:pt>
              </c:strCache>
            </c:strRef>
          </c:cat>
          <c:val>
            <c:numRef>
              <c:f>Payroll!$D$2:$D$50</c:f>
              <c:numCache>
                <c:formatCode>General</c:formatCode>
                <c:ptCount val="49"/>
                <c:pt idx="0">
                  <c:v>21087</c:v>
                </c:pt>
                <c:pt idx="1">
                  <c:v>85520</c:v>
                </c:pt>
                <c:pt idx="2">
                  <c:v>85604</c:v>
                </c:pt>
                <c:pt idx="3">
                  <c:v>128815</c:v>
                </c:pt>
                <c:pt idx="4">
                  <c:v>78394</c:v>
                </c:pt>
                <c:pt idx="5">
                  <c:v>124658</c:v>
                </c:pt>
                <c:pt idx="6">
                  <c:v>64480</c:v>
                </c:pt>
                <c:pt idx="7">
                  <c:v>149635</c:v>
                </c:pt>
                <c:pt idx="8">
                  <c:v>28351</c:v>
                </c:pt>
                <c:pt idx="9">
                  <c:v>110448</c:v>
                </c:pt>
                <c:pt idx="10">
                  <c:v>62467</c:v>
                </c:pt>
                <c:pt idx="11">
                  <c:v>17899</c:v>
                </c:pt>
                <c:pt idx="12">
                  <c:v>109703</c:v>
                </c:pt>
                <c:pt idx="13">
                  <c:v>41732</c:v>
                </c:pt>
                <c:pt idx="14">
                  <c:v>75599</c:v>
                </c:pt>
                <c:pt idx="15">
                  <c:v>145170</c:v>
                </c:pt>
                <c:pt idx="16">
                  <c:v>148858</c:v>
                </c:pt>
                <c:pt idx="17">
                  <c:v>29807</c:v>
                </c:pt>
                <c:pt idx="18">
                  <c:v>113701</c:v>
                </c:pt>
                <c:pt idx="19">
                  <c:v>134633</c:v>
                </c:pt>
                <c:pt idx="20">
                  <c:v>27365</c:v>
                </c:pt>
                <c:pt idx="21">
                  <c:v>119462</c:v>
                </c:pt>
                <c:pt idx="22">
                  <c:v>139466</c:v>
                </c:pt>
                <c:pt idx="23">
                  <c:v>91475</c:v>
                </c:pt>
                <c:pt idx="24">
                  <c:v>79214</c:v>
                </c:pt>
                <c:pt idx="25">
                  <c:v>86333</c:v>
                </c:pt>
                <c:pt idx="26">
                  <c:v>49491</c:v>
                </c:pt>
                <c:pt idx="27">
                  <c:v>106026</c:v>
                </c:pt>
                <c:pt idx="28">
                  <c:v>62708</c:v>
                </c:pt>
                <c:pt idx="29">
                  <c:v>111462</c:v>
                </c:pt>
                <c:pt idx="30">
                  <c:v>127198</c:v>
                </c:pt>
                <c:pt idx="31">
                  <c:v>34042</c:v>
                </c:pt>
                <c:pt idx="32">
                  <c:v>104444</c:v>
                </c:pt>
                <c:pt idx="33">
                  <c:v>135827</c:v>
                </c:pt>
                <c:pt idx="34">
                  <c:v>80575</c:v>
                </c:pt>
                <c:pt idx="35">
                  <c:v>59342</c:v>
                </c:pt>
                <c:pt idx="36">
                  <c:v>82182</c:v>
                </c:pt>
                <c:pt idx="37">
                  <c:v>129596</c:v>
                </c:pt>
                <c:pt idx="38">
                  <c:v>29247</c:v>
                </c:pt>
                <c:pt idx="39">
                  <c:v>25715</c:v>
                </c:pt>
                <c:pt idx="40">
                  <c:v>140419</c:v>
                </c:pt>
                <c:pt idx="41">
                  <c:v>84699</c:v>
                </c:pt>
                <c:pt idx="42">
                  <c:v>104986</c:v>
                </c:pt>
                <c:pt idx="43">
                  <c:v>27416</c:v>
                </c:pt>
                <c:pt idx="44">
                  <c:v>30928</c:v>
                </c:pt>
                <c:pt idx="45">
                  <c:v>56371</c:v>
                </c:pt>
                <c:pt idx="46">
                  <c:v>32293</c:v>
                </c:pt>
                <c:pt idx="47">
                  <c:v>103283</c:v>
                </c:pt>
                <c:pt idx="48">
                  <c:v>115063</c:v>
                </c:pt>
              </c:numCache>
            </c:numRef>
          </c:val>
        </c:ser>
        <c:ser>
          <c:idx val="1"/>
          <c:order val="1"/>
          <c:tx>
            <c:strRef>
              <c:f>Payroll!$J$1</c:f>
              <c:strCache>
                <c:ptCount val="1"/>
                <c:pt idx="0">
                  <c:v>Net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Payroll!$A$2:$A$50</c:f>
              <c:strCache>
                <c:ptCount val="49"/>
                <c:pt idx="0">
                  <c:v>EMP001</c:v>
                </c:pt>
                <c:pt idx="1">
                  <c:v>EMP002</c:v>
                </c:pt>
                <c:pt idx="2">
                  <c:v>EMP003</c:v>
                </c:pt>
                <c:pt idx="3">
                  <c:v>EMP004</c:v>
                </c:pt>
                <c:pt idx="4">
                  <c:v>EMP005</c:v>
                </c:pt>
                <c:pt idx="5">
                  <c:v>EMP006</c:v>
                </c:pt>
                <c:pt idx="6">
                  <c:v>EMP007</c:v>
                </c:pt>
                <c:pt idx="7">
                  <c:v>EMP008</c:v>
                </c:pt>
                <c:pt idx="8">
                  <c:v>EMP009</c:v>
                </c:pt>
                <c:pt idx="9">
                  <c:v>EMP010</c:v>
                </c:pt>
                <c:pt idx="10">
                  <c:v>EMP011</c:v>
                </c:pt>
                <c:pt idx="11">
                  <c:v>EMP012</c:v>
                </c:pt>
                <c:pt idx="12">
                  <c:v>EMP013</c:v>
                </c:pt>
                <c:pt idx="13">
                  <c:v>EMP014</c:v>
                </c:pt>
                <c:pt idx="14">
                  <c:v>EMP015</c:v>
                </c:pt>
                <c:pt idx="15">
                  <c:v>EMP016</c:v>
                </c:pt>
                <c:pt idx="16">
                  <c:v>EMP017</c:v>
                </c:pt>
                <c:pt idx="17">
                  <c:v>EMP018</c:v>
                </c:pt>
                <c:pt idx="18">
                  <c:v>EMP019</c:v>
                </c:pt>
                <c:pt idx="19">
                  <c:v>EMP020</c:v>
                </c:pt>
                <c:pt idx="20">
                  <c:v>EMP021</c:v>
                </c:pt>
                <c:pt idx="21">
                  <c:v>EMP022</c:v>
                </c:pt>
                <c:pt idx="22">
                  <c:v>EMP023</c:v>
                </c:pt>
                <c:pt idx="23">
                  <c:v>EMP024</c:v>
                </c:pt>
                <c:pt idx="24">
                  <c:v>EMP025</c:v>
                </c:pt>
                <c:pt idx="25">
                  <c:v>EMP026</c:v>
                </c:pt>
                <c:pt idx="26">
                  <c:v>EMP027</c:v>
                </c:pt>
                <c:pt idx="27">
                  <c:v>EMP028</c:v>
                </c:pt>
                <c:pt idx="28">
                  <c:v>EMP029</c:v>
                </c:pt>
                <c:pt idx="29">
                  <c:v>EMP030</c:v>
                </c:pt>
                <c:pt idx="30">
                  <c:v>EMP031</c:v>
                </c:pt>
                <c:pt idx="31">
                  <c:v>EMP032</c:v>
                </c:pt>
                <c:pt idx="32">
                  <c:v>EMP033</c:v>
                </c:pt>
                <c:pt idx="33">
                  <c:v>EMP034</c:v>
                </c:pt>
                <c:pt idx="34">
                  <c:v>EMP035</c:v>
                </c:pt>
                <c:pt idx="35">
                  <c:v>EMP036</c:v>
                </c:pt>
                <c:pt idx="36">
                  <c:v>EMP037</c:v>
                </c:pt>
                <c:pt idx="37">
                  <c:v>EMP038</c:v>
                </c:pt>
                <c:pt idx="38">
                  <c:v>EMP039</c:v>
                </c:pt>
                <c:pt idx="39">
                  <c:v>EMP040</c:v>
                </c:pt>
                <c:pt idx="40">
                  <c:v>EMP041</c:v>
                </c:pt>
                <c:pt idx="41">
                  <c:v>EMP042</c:v>
                </c:pt>
                <c:pt idx="42">
                  <c:v>EMP043</c:v>
                </c:pt>
                <c:pt idx="43">
                  <c:v>EMP044</c:v>
                </c:pt>
                <c:pt idx="44">
                  <c:v>EMP045</c:v>
                </c:pt>
                <c:pt idx="45">
                  <c:v>EMP046</c:v>
                </c:pt>
                <c:pt idx="46">
                  <c:v>EMP047</c:v>
                </c:pt>
                <c:pt idx="47">
                  <c:v>EMP048</c:v>
                </c:pt>
                <c:pt idx="48">
                  <c:v>EMP049</c:v>
                </c:pt>
              </c:strCache>
            </c:strRef>
          </c:cat>
          <c:val>
            <c:numRef>
              <c:f>Payroll!$J$2:$J$50</c:f>
              <c:numCache>
                <c:formatCode>General</c:formatCode>
                <c:ptCount val="49"/>
                <c:pt idx="0">
                  <c:v>18978.3</c:v>
                </c:pt>
                <c:pt idx="1">
                  <c:v>66928.6956521739</c:v>
                </c:pt>
                <c:pt idx="2">
                  <c:v>75726.6153846154</c:v>
                </c:pt>
                <c:pt idx="3">
                  <c:v>108204.6</c:v>
                </c:pt>
                <c:pt idx="4">
                  <c:v>66780.0740740741</c:v>
                </c:pt>
                <c:pt idx="5">
                  <c:v>111762.344827586</c:v>
                </c:pt>
                <c:pt idx="6">
                  <c:v>55268.5714285714</c:v>
                </c:pt>
                <c:pt idx="7">
                  <c:v>149635</c:v>
                </c:pt>
                <c:pt idx="8">
                  <c:v>26250.9259259259</c:v>
                </c:pt>
                <c:pt idx="9">
                  <c:v>106200</c:v>
                </c:pt>
                <c:pt idx="10">
                  <c:v>53543.1428571429</c:v>
                </c:pt>
                <c:pt idx="11">
                  <c:v>17004.05</c:v>
                </c:pt>
                <c:pt idx="12">
                  <c:v>92150.52</c:v>
                </c:pt>
                <c:pt idx="13">
                  <c:v>39917.5652173913</c:v>
                </c:pt>
                <c:pt idx="14">
                  <c:v>62999.1666666667</c:v>
                </c:pt>
                <c:pt idx="15">
                  <c:v>145170</c:v>
                </c:pt>
                <c:pt idx="16">
                  <c:v>148858</c:v>
                </c:pt>
                <c:pt idx="17">
                  <c:v>28316.65</c:v>
                </c:pt>
                <c:pt idx="18">
                  <c:v>105278.703703704</c:v>
                </c:pt>
                <c:pt idx="19">
                  <c:v>115399.714285714</c:v>
                </c:pt>
                <c:pt idx="20">
                  <c:v>24628.5</c:v>
                </c:pt>
                <c:pt idx="21">
                  <c:v>119462</c:v>
                </c:pt>
                <c:pt idx="22">
                  <c:v>115211.043478261</c:v>
                </c:pt>
                <c:pt idx="23">
                  <c:v>87119.0476190476</c:v>
                </c:pt>
                <c:pt idx="24">
                  <c:v>66539.76</c:v>
                </c:pt>
                <c:pt idx="25">
                  <c:v>70636.0909090909</c:v>
                </c:pt>
                <c:pt idx="26">
                  <c:v>44541.9</c:v>
                </c:pt>
                <c:pt idx="27">
                  <c:v>91567.9090909091</c:v>
                </c:pt>
                <c:pt idx="28">
                  <c:v>51306.5454545455</c:v>
                </c:pt>
                <c:pt idx="29">
                  <c:v>107003.52</c:v>
                </c:pt>
                <c:pt idx="30">
                  <c:v>105076.608695652</c:v>
                </c:pt>
                <c:pt idx="31">
                  <c:v>28998.7407407407</c:v>
                </c:pt>
                <c:pt idx="32">
                  <c:v>88970.8148148148</c:v>
                </c:pt>
                <c:pt idx="33">
                  <c:v>135827</c:v>
                </c:pt>
                <c:pt idx="34">
                  <c:v>80575</c:v>
                </c:pt>
                <c:pt idx="35">
                  <c:v>50864.5714285714</c:v>
                </c:pt>
                <c:pt idx="36">
                  <c:v>68012.6896551724</c:v>
                </c:pt>
                <c:pt idx="37">
                  <c:v>114642.615384615</c:v>
                </c:pt>
                <c:pt idx="38">
                  <c:v>25872.3461538462</c:v>
                </c:pt>
                <c:pt idx="39">
                  <c:v>20769.8076923077</c:v>
                </c:pt>
                <c:pt idx="40">
                  <c:v>128717.416666667</c:v>
                </c:pt>
                <c:pt idx="41">
                  <c:v>80241.1578947368</c:v>
                </c:pt>
                <c:pt idx="42">
                  <c:v>96910.1538461538</c:v>
                </c:pt>
                <c:pt idx="43">
                  <c:v>22846.6666666667</c:v>
                </c:pt>
                <c:pt idx="44">
                  <c:v>24980.3076923077</c:v>
                </c:pt>
                <c:pt idx="45">
                  <c:v>51469.1739130435</c:v>
                </c:pt>
                <c:pt idx="46">
                  <c:v>32293</c:v>
                </c:pt>
                <c:pt idx="47">
                  <c:v>84156.5185185185</c:v>
                </c:pt>
                <c:pt idx="48">
                  <c:v>104602.727272727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07240774"/>
        <c:axId val="62116540"/>
      </c:barChart>
      <c:catAx>
        <c:axId val="6072407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16540"/>
        <c:crosses val="autoZero"/>
        <c:auto val="1"/>
        <c:lblAlgn val="ctr"/>
        <c:lblOffset val="100"/>
        <c:noMultiLvlLbl val="0"/>
      </c:catAx>
      <c:valAx>
        <c:axId val="621165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72407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6d5a14-be0f-4a98-8d8c-35407a6b5ef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Attendance Overview</a:t>
            </a:r>
            <a:endParaRPr lang="en-IN" altLang="en-GB"/>
          </a:p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 altLang="en-GB"/>
          </a:p>
        </c:rich>
      </c:tx>
      <c:layout>
        <c:manualLayout>
          <c:xMode val="edge"/>
          <c:yMode val="edge"/>
          <c:x val="0.346644736842105"/>
          <c:y val="0.07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numRef>
              <c:f>'#REF'!#REF!</c:f>
              <c:numCache>
                <c:ptCount val="0"/>
              </c:numCache>
            </c:numRef>
          </c:cat>
          <c:val>
            <c:numRef>
              <c:f>'#REF'!#REF!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4e95d4-df5a-4f77-b4d7-ebd9650588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501650</xdr:colOff>
      <xdr:row>3</xdr:row>
      <xdr:rowOff>4445</xdr:rowOff>
    </xdr:from>
    <xdr:to>
      <xdr:col>20</xdr:col>
      <xdr:colOff>353695</xdr:colOff>
      <xdr:row>20</xdr:row>
      <xdr:rowOff>57150</xdr:rowOff>
    </xdr:to>
    <xdr:graphicFrame>
      <xdr:nvGraphicFramePr>
        <xdr:cNvPr id="2" name="Chart 1"/>
        <xdr:cNvGraphicFramePr/>
      </xdr:nvGraphicFramePr>
      <xdr:xfrm>
        <a:off x="11413490" y="530225"/>
        <a:ext cx="9239885" cy="3032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574040</xdr:colOff>
      <xdr:row>22</xdr:row>
      <xdr:rowOff>133350</xdr:rowOff>
    </xdr:from>
    <xdr:to>
      <xdr:col>20</xdr:col>
      <xdr:colOff>560070</xdr:colOff>
      <xdr:row>41</xdr:row>
      <xdr:rowOff>106680</xdr:rowOff>
    </xdr:to>
    <xdr:graphicFrame>
      <xdr:nvGraphicFramePr>
        <xdr:cNvPr id="4" name="Chart 3"/>
        <xdr:cNvGraphicFramePr/>
      </xdr:nvGraphicFramePr>
      <xdr:xfrm>
        <a:off x="11485880" y="3989070"/>
        <a:ext cx="9373870" cy="3303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555625</xdr:colOff>
      <xdr:row>44</xdr:row>
      <xdr:rowOff>22225</xdr:rowOff>
    </xdr:from>
    <xdr:to>
      <xdr:col>20</xdr:col>
      <xdr:colOff>592455</xdr:colOff>
      <xdr:row>65</xdr:row>
      <xdr:rowOff>91440</xdr:rowOff>
    </xdr:to>
    <xdr:graphicFrame>
      <xdr:nvGraphicFramePr>
        <xdr:cNvPr id="5" name="Chart 4"/>
        <xdr:cNvGraphicFramePr/>
      </xdr:nvGraphicFramePr>
      <xdr:xfrm>
        <a:off x="11467465" y="7733665"/>
        <a:ext cx="9424670" cy="3795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showOutlineSymbols="0" zoomScalePageLayoutView="0" zoomScaleSheetLayoutView="0" showWhiteSpace="0" workbookViewId="0">
      <selection activeCell="N8" sqref="$A1:$XFD1048576"/>
    </sheetView>
  </sheetViews>
  <sheetFormatPr defaultColWidth="9" defaultRowHeight="13.8" outlineLevelCol="6"/>
  <cols>
    <col min="1" max="1" width="36.0916666666667" customWidth="1"/>
    <col min="2" max="2" width="16.2916666666667" customWidth="1"/>
    <col min="3" max="3" width="21.7916666666667" customWidth="1"/>
    <col min="4" max="4" width="9.69166666666667" customWidth="1"/>
    <col min="5" max="5" width="12.6" customWidth="1"/>
    <col min="6" max="6" width="13.3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/>
    </row>
    <row r="2" spans="1:6">
      <c r="A2" s="6" t="s">
        <v>6</v>
      </c>
      <c r="B2" s="6" t="s">
        <v>7</v>
      </c>
      <c r="C2" s="6" t="s">
        <v>8</v>
      </c>
      <c r="D2" s="6">
        <v>21087</v>
      </c>
      <c r="E2" s="6">
        <v>18</v>
      </c>
      <c r="F2" s="6">
        <v>2</v>
      </c>
    </row>
    <row r="3" spans="1:6">
      <c r="A3" s="6" t="s">
        <v>9</v>
      </c>
      <c r="B3" s="6" t="s">
        <v>10</v>
      </c>
      <c r="C3" s="6" t="s">
        <v>11</v>
      </c>
      <c r="D3" s="6">
        <v>85520</v>
      </c>
      <c r="E3" s="6">
        <v>18</v>
      </c>
      <c r="F3" s="6">
        <v>5</v>
      </c>
    </row>
    <row r="4" spans="1:6">
      <c r="A4" s="6" t="s">
        <v>12</v>
      </c>
      <c r="B4" s="6" t="s">
        <v>13</v>
      </c>
      <c r="C4" s="6" t="s">
        <v>14</v>
      </c>
      <c r="D4" s="6">
        <v>85604</v>
      </c>
      <c r="E4" s="6">
        <v>23</v>
      </c>
      <c r="F4" s="6">
        <v>3</v>
      </c>
    </row>
    <row r="5" spans="1:6">
      <c r="A5" s="6" t="s">
        <v>15</v>
      </c>
      <c r="B5" s="6" t="s">
        <v>16</v>
      </c>
      <c r="C5" s="6" t="s">
        <v>17</v>
      </c>
      <c r="D5" s="6">
        <v>128815</v>
      </c>
      <c r="E5" s="6">
        <v>21</v>
      </c>
      <c r="F5" s="6">
        <v>4</v>
      </c>
    </row>
    <row r="6" spans="1:6">
      <c r="A6" s="6" t="s">
        <v>18</v>
      </c>
      <c r="B6" s="6" t="s">
        <v>19</v>
      </c>
      <c r="C6" s="6" t="s">
        <v>11</v>
      </c>
      <c r="D6" s="6">
        <v>78394</v>
      </c>
      <c r="E6" s="6">
        <v>23</v>
      </c>
      <c r="F6" s="6">
        <v>4</v>
      </c>
    </row>
    <row r="7" spans="1:6">
      <c r="A7" s="6" t="s">
        <v>20</v>
      </c>
      <c r="B7" s="6" t="s">
        <v>21</v>
      </c>
      <c r="C7" s="6" t="s">
        <v>22</v>
      </c>
      <c r="D7" s="6">
        <v>124658</v>
      </c>
      <c r="E7" s="6">
        <v>26</v>
      </c>
      <c r="F7" s="6">
        <v>3</v>
      </c>
    </row>
    <row r="8" spans="1:6">
      <c r="A8" s="6" t="s">
        <v>23</v>
      </c>
      <c r="B8" s="6" t="s">
        <v>24</v>
      </c>
      <c r="C8" s="6" t="s">
        <v>8</v>
      </c>
      <c r="D8" s="6">
        <v>64480</v>
      </c>
      <c r="E8" s="6">
        <v>18</v>
      </c>
      <c r="F8" s="6">
        <v>3</v>
      </c>
    </row>
    <row r="9" spans="1:6">
      <c r="A9" s="6" t="s">
        <v>25</v>
      </c>
      <c r="B9" s="6" t="s">
        <v>26</v>
      </c>
      <c r="C9" s="6" t="s">
        <v>22</v>
      </c>
      <c r="D9" s="6">
        <v>149635</v>
      </c>
      <c r="E9" s="6">
        <v>26</v>
      </c>
      <c r="F9" s="6">
        <v>0</v>
      </c>
    </row>
    <row r="10" spans="1:6">
      <c r="A10" s="6" t="s">
        <v>27</v>
      </c>
      <c r="B10" s="6" t="s">
        <v>28</v>
      </c>
      <c r="C10" s="6" t="s">
        <v>29</v>
      </c>
      <c r="D10" s="6">
        <v>28351</v>
      </c>
      <c r="E10" s="6">
        <v>25</v>
      </c>
      <c r="F10" s="6">
        <v>2</v>
      </c>
    </row>
    <row r="11" spans="1:6">
      <c r="A11" s="6" t="s">
        <v>30</v>
      </c>
      <c r="B11" s="6" t="s">
        <v>31</v>
      </c>
      <c r="C11" s="6" t="s">
        <v>29</v>
      </c>
      <c r="D11" s="6">
        <v>110448</v>
      </c>
      <c r="E11" s="6">
        <v>25</v>
      </c>
      <c r="F11" s="6">
        <v>1</v>
      </c>
    </row>
    <row r="12" spans="1:6">
      <c r="A12" s="6" t="s">
        <v>32</v>
      </c>
      <c r="B12" s="6" t="s">
        <v>33</v>
      </c>
      <c r="C12" s="6" t="s">
        <v>34</v>
      </c>
      <c r="D12" s="6">
        <v>62467</v>
      </c>
      <c r="E12" s="6">
        <v>18</v>
      </c>
      <c r="F12" s="6">
        <v>3</v>
      </c>
    </row>
    <row r="13" spans="1:6">
      <c r="A13" s="6" t="s">
        <v>35</v>
      </c>
      <c r="B13" s="6" t="s">
        <v>36</v>
      </c>
      <c r="C13" s="6" t="s">
        <v>11</v>
      </c>
      <c r="D13" s="6">
        <v>17899</v>
      </c>
      <c r="E13" s="6">
        <v>19</v>
      </c>
      <c r="F13" s="6">
        <v>1</v>
      </c>
    </row>
    <row r="14" spans="1:6">
      <c r="A14" s="6" t="s">
        <v>37</v>
      </c>
      <c r="B14" s="6" t="s">
        <v>38</v>
      </c>
      <c r="C14" s="6" t="s">
        <v>22</v>
      </c>
      <c r="D14" s="6">
        <v>109703</v>
      </c>
      <c r="E14" s="6">
        <v>21</v>
      </c>
      <c r="F14" s="6">
        <v>4</v>
      </c>
    </row>
    <row r="15" spans="1:6">
      <c r="A15" s="6" t="s">
        <v>39</v>
      </c>
      <c r="B15" s="6" t="s">
        <v>40</v>
      </c>
      <c r="C15" s="6" t="s">
        <v>41</v>
      </c>
      <c r="D15" s="6">
        <v>41732</v>
      </c>
      <c r="E15" s="6">
        <v>22</v>
      </c>
      <c r="F15" s="6">
        <v>1</v>
      </c>
    </row>
    <row r="16" spans="1:6">
      <c r="A16" s="6" t="s">
        <v>42</v>
      </c>
      <c r="B16" s="6" t="s">
        <v>43</v>
      </c>
      <c r="C16" s="6" t="s">
        <v>17</v>
      </c>
      <c r="D16" s="6">
        <v>75599</v>
      </c>
      <c r="E16" s="6">
        <v>25</v>
      </c>
      <c r="F16" s="6">
        <v>5</v>
      </c>
    </row>
    <row r="17" spans="1:6">
      <c r="A17" s="6" t="s">
        <v>44</v>
      </c>
      <c r="B17" s="6" t="s">
        <v>45</v>
      </c>
      <c r="C17" s="6" t="s">
        <v>46</v>
      </c>
      <c r="D17" s="6">
        <v>145170</v>
      </c>
      <c r="E17" s="6">
        <v>25</v>
      </c>
      <c r="F17" s="6">
        <v>0</v>
      </c>
    </row>
    <row r="18" spans="1:6">
      <c r="A18" s="6" t="s">
        <v>47</v>
      </c>
      <c r="B18" s="6" t="s">
        <v>48</v>
      </c>
      <c r="C18" s="6" t="s">
        <v>41</v>
      </c>
      <c r="D18" s="6">
        <v>148858</v>
      </c>
      <c r="E18" s="6">
        <v>23</v>
      </c>
      <c r="F18" s="6">
        <v>0</v>
      </c>
    </row>
    <row r="19" spans="1:6">
      <c r="A19" s="6" t="s">
        <v>49</v>
      </c>
      <c r="B19" s="6" t="s">
        <v>50</v>
      </c>
      <c r="C19" s="6" t="s">
        <v>41</v>
      </c>
      <c r="D19" s="6">
        <v>29807</v>
      </c>
      <c r="E19" s="6">
        <v>19</v>
      </c>
      <c r="F19" s="6">
        <v>1</v>
      </c>
    </row>
    <row r="20" spans="1:6">
      <c r="A20" s="6" t="s">
        <v>51</v>
      </c>
      <c r="B20" s="6" t="s">
        <v>52</v>
      </c>
      <c r="C20" s="6" t="s">
        <v>41</v>
      </c>
      <c r="D20" s="6">
        <v>113701</v>
      </c>
      <c r="E20" s="6">
        <v>25</v>
      </c>
      <c r="F20" s="6">
        <v>2</v>
      </c>
    </row>
    <row r="21" spans="1:6">
      <c r="A21" s="6" t="s">
        <v>53</v>
      </c>
      <c r="B21" s="6" t="s">
        <v>54</v>
      </c>
      <c r="C21" s="6" t="s">
        <v>29</v>
      </c>
      <c r="D21" s="6">
        <v>134633</v>
      </c>
      <c r="E21" s="6">
        <v>24</v>
      </c>
      <c r="F21" s="6">
        <v>4</v>
      </c>
    </row>
    <row r="22" spans="1:6">
      <c r="A22" s="6" t="s">
        <v>55</v>
      </c>
      <c r="B22" s="6" t="s">
        <v>56</v>
      </c>
      <c r="C22" s="6" t="s">
        <v>8</v>
      </c>
      <c r="D22" s="6">
        <v>27365</v>
      </c>
      <c r="E22" s="6">
        <v>18</v>
      </c>
      <c r="F22" s="6">
        <v>2</v>
      </c>
    </row>
    <row r="23" spans="1:6">
      <c r="A23" s="6" t="s">
        <v>57</v>
      </c>
      <c r="B23" s="6" t="s">
        <v>58</v>
      </c>
      <c r="C23" s="6" t="s">
        <v>46</v>
      </c>
      <c r="D23" s="6">
        <v>119462</v>
      </c>
      <c r="E23" s="6">
        <v>21</v>
      </c>
      <c r="F23" s="6">
        <v>0</v>
      </c>
    </row>
    <row r="24" spans="1:6">
      <c r="A24" s="6" t="s">
        <v>59</v>
      </c>
      <c r="B24" s="6" t="s">
        <v>60</v>
      </c>
      <c r="C24" s="6" t="s">
        <v>14</v>
      </c>
      <c r="D24" s="6">
        <v>139466</v>
      </c>
      <c r="E24" s="6">
        <v>19</v>
      </c>
      <c r="F24" s="6">
        <v>4</v>
      </c>
    </row>
    <row r="25" spans="1:6">
      <c r="A25" s="6" t="s">
        <v>61</v>
      </c>
      <c r="B25" s="6" t="s">
        <v>62</v>
      </c>
      <c r="C25" s="6" t="s">
        <v>46</v>
      </c>
      <c r="D25" s="6">
        <v>91475</v>
      </c>
      <c r="E25" s="6">
        <v>20</v>
      </c>
      <c r="F25" s="6">
        <v>1</v>
      </c>
    </row>
    <row r="26" spans="1:6">
      <c r="A26" s="6" t="s">
        <v>63</v>
      </c>
      <c r="B26" s="6" t="s">
        <v>64</v>
      </c>
      <c r="C26" s="6" t="s">
        <v>14</v>
      </c>
      <c r="D26" s="6">
        <v>79214</v>
      </c>
      <c r="E26" s="6">
        <v>21</v>
      </c>
      <c r="F26" s="6">
        <v>4</v>
      </c>
    </row>
    <row r="27" spans="1:6">
      <c r="A27" s="6" t="s">
        <v>65</v>
      </c>
      <c r="B27" s="6" t="s">
        <v>66</v>
      </c>
      <c r="C27" s="6" t="s">
        <v>34</v>
      </c>
      <c r="D27" s="6">
        <v>86333</v>
      </c>
      <c r="E27" s="6">
        <v>18</v>
      </c>
      <c r="F27" s="6">
        <v>4</v>
      </c>
    </row>
    <row r="28" spans="1:6">
      <c r="A28" s="6" t="s">
        <v>67</v>
      </c>
      <c r="B28" s="6" t="s">
        <v>68</v>
      </c>
      <c r="C28" s="6" t="s">
        <v>22</v>
      </c>
      <c r="D28" s="6">
        <v>49491</v>
      </c>
      <c r="E28" s="6">
        <v>18</v>
      </c>
      <c r="F28" s="6">
        <v>2</v>
      </c>
    </row>
    <row r="29" spans="1:6">
      <c r="A29" s="6" t="s">
        <v>69</v>
      </c>
      <c r="B29" s="6" t="s">
        <v>70</v>
      </c>
      <c r="C29" s="6" t="s">
        <v>22</v>
      </c>
      <c r="D29" s="6">
        <v>106026</v>
      </c>
      <c r="E29" s="6">
        <v>19</v>
      </c>
      <c r="F29" s="6">
        <v>3</v>
      </c>
    </row>
    <row r="30" spans="1:6">
      <c r="A30" s="6" t="s">
        <v>71</v>
      </c>
      <c r="B30" s="6" t="s">
        <v>72</v>
      </c>
      <c r="C30" s="6" t="s">
        <v>11</v>
      </c>
      <c r="D30" s="6">
        <v>62708</v>
      </c>
      <c r="E30" s="6">
        <v>18</v>
      </c>
      <c r="F30" s="6">
        <v>4</v>
      </c>
    </row>
    <row r="31" spans="1:6">
      <c r="A31" s="6" t="s">
        <v>73</v>
      </c>
      <c r="B31" s="6" t="s">
        <v>74</v>
      </c>
      <c r="C31" s="6" t="s">
        <v>41</v>
      </c>
      <c r="D31" s="6">
        <v>111462</v>
      </c>
      <c r="E31" s="6">
        <v>24</v>
      </c>
      <c r="F31" s="6">
        <v>1</v>
      </c>
    </row>
    <row r="32" spans="1:6">
      <c r="A32" s="6" t="s">
        <v>75</v>
      </c>
      <c r="B32" s="6" t="s">
        <v>76</v>
      </c>
      <c r="C32" s="6" t="s">
        <v>77</v>
      </c>
      <c r="D32" s="6">
        <v>127198</v>
      </c>
      <c r="E32" s="6">
        <v>19</v>
      </c>
      <c r="F32" s="6">
        <v>4</v>
      </c>
    </row>
    <row r="33" spans="1:6">
      <c r="A33" s="6" t="s">
        <v>78</v>
      </c>
      <c r="B33" s="6" t="s">
        <v>79</v>
      </c>
      <c r="C33" s="6" t="s">
        <v>8</v>
      </c>
      <c r="D33" s="6">
        <v>34042</v>
      </c>
      <c r="E33" s="6">
        <v>23</v>
      </c>
      <c r="F33" s="6">
        <v>4</v>
      </c>
    </row>
    <row r="34" spans="1:6">
      <c r="A34" s="6" t="s">
        <v>80</v>
      </c>
      <c r="B34" s="6" t="s">
        <v>81</v>
      </c>
      <c r="C34" s="6" t="s">
        <v>17</v>
      </c>
      <c r="D34" s="6">
        <v>104444</v>
      </c>
      <c r="E34" s="6">
        <v>23</v>
      </c>
      <c r="F34" s="6">
        <v>4</v>
      </c>
    </row>
    <row r="35" spans="1:6">
      <c r="A35" s="6" t="s">
        <v>82</v>
      </c>
      <c r="B35" s="6" t="s">
        <v>83</v>
      </c>
      <c r="C35" s="6" t="s">
        <v>11</v>
      </c>
      <c r="D35" s="6">
        <v>135827</v>
      </c>
      <c r="E35" s="6">
        <v>23</v>
      </c>
      <c r="F35" s="6">
        <v>0</v>
      </c>
    </row>
    <row r="36" spans="1:6">
      <c r="A36" s="6" t="s">
        <v>84</v>
      </c>
      <c r="B36" s="6" t="s">
        <v>85</v>
      </c>
      <c r="C36" s="6" t="s">
        <v>22</v>
      </c>
      <c r="D36" s="6">
        <v>80575</v>
      </c>
      <c r="E36" s="6">
        <v>21</v>
      </c>
      <c r="F36" s="6">
        <v>0</v>
      </c>
    </row>
    <row r="37" spans="1:6">
      <c r="A37" s="6" t="s">
        <v>86</v>
      </c>
      <c r="B37" s="6" t="s">
        <v>87</v>
      </c>
      <c r="C37" s="6" t="s">
        <v>11</v>
      </c>
      <c r="D37" s="6">
        <v>59342</v>
      </c>
      <c r="E37" s="6">
        <v>24</v>
      </c>
      <c r="F37" s="6">
        <v>4</v>
      </c>
    </row>
    <row r="38" spans="1:6">
      <c r="A38" s="6" t="s">
        <v>88</v>
      </c>
      <c r="B38" s="6" t="s">
        <v>89</v>
      </c>
      <c r="C38" s="6" t="s">
        <v>17</v>
      </c>
      <c r="D38" s="6">
        <v>82182</v>
      </c>
      <c r="E38" s="6">
        <v>24</v>
      </c>
      <c r="F38" s="6">
        <v>5</v>
      </c>
    </row>
    <row r="39" spans="1:6">
      <c r="A39" s="6" t="s">
        <v>90</v>
      </c>
      <c r="B39" s="6" t="s">
        <v>91</v>
      </c>
      <c r="C39" s="6" t="s">
        <v>29</v>
      </c>
      <c r="D39" s="6">
        <v>129596</v>
      </c>
      <c r="E39" s="6">
        <v>23</v>
      </c>
      <c r="F39" s="6">
        <v>3</v>
      </c>
    </row>
    <row r="40" spans="1:6">
      <c r="A40" s="6" t="s">
        <v>92</v>
      </c>
      <c r="B40" s="6" t="s">
        <v>93</v>
      </c>
      <c r="C40" s="6" t="s">
        <v>94</v>
      </c>
      <c r="D40" s="6">
        <v>29247</v>
      </c>
      <c r="E40" s="6">
        <v>23</v>
      </c>
      <c r="F40" s="6">
        <v>3</v>
      </c>
    </row>
    <row r="41" spans="1:6">
      <c r="A41" s="6" t="s">
        <v>95</v>
      </c>
      <c r="B41" s="6" t="s">
        <v>96</v>
      </c>
      <c r="C41" s="6" t="s">
        <v>41</v>
      </c>
      <c r="D41" s="6">
        <v>25715</v>
      </c>
      <c r="E41" s="6">
        <v>21</v>
      </c>
      <c r="F41" s="6">
        <v>5</v>
      </c>
    </row>
    <row r="42" spans="1:6">
      <c r="A42" s="6" t="s">
        <v>97</v>
      </c>
      <c r="B42" s="6" t="s">
        <v>98</v>
      </c>
      <c r="C42" s="6" t="s">
        <v>46</v>
      </c>
      <c r="D42" s="6">
        <v>140419</v>
      </c>
      <c r="E42" s="6">
        <v>22</v>
      </c>
      <c r="F42" s="6">
        <v>2</v>
      </c>
    </row>
    <row r="43" spans="1:6">
      <c r="A43" s="6" t="s">
        <v>99</v>
      </c>
      <c r="B43" s="6" t="s">
        <v>100</v>
      </c>
      <c r="C43" s="6" t="s">
        <v>17</v>
      </c>
      <c r="D43" s="6">
        <v>84699</v>
      </c>
      <c r="E43" s="6">
        <v>18</v>
      </c>
      <c r="F43" s="6">
        <v>1</v>
      </c>
    </row>
    <row r="44" spans="1:6">
      <c r="A44" s="6" t="s">
        <v>101</v>
      </c>
      <c r="B44" s="6" t="s">
        <v>102</v>
      </c>
      <c r="C44" s="6" t="s">
        <v>17</v>
      </c>
      <c r="D44" s="6">
        <v>104986</v>
      </c>
      <c r="E44" s="6">
        <v>24</v>
      </c>
      <c r="F44" s="6">
        <v>2</v>
      </c>
    </row>
    <row r="45" spans="1:6">
      <c r="A45" s="6" t="s">
        <v>103</v>
      </c>
      <c r="B45" s="6" t="s">
        <v>104</v>
      </c>
      <c r="C45" s="6" t="s">
        <v>11</v>
      </c>
      <c r="D45" s="6">
        <v>27416</v>
      </c>
      <c r="E45" s="6">
        <v>20</v>
      </c>
      <c r="F45" s="6">
        <v>4</v>
      </c>
    </row>
    <row r="46" spans="1:6">
      <c r="A46" s="6" t="s">
        <v>105</v>
      </c>
      <c r="B46" s="6" t="s">
        <v>106</v>
      </c>
      <c r="C46" s="6" t="s">
        <v>22</v>
      </c>
      <c r="D46" s="6">
        <v>30928</v>
      </c>
      <c r="E46" s="6">
        <v>21</v>
      </c>
      <c r="F46" s="6">
        <v>5</v>
      </c>
    </row>
    <row r="47" spans="1:6">
      <c r="A47" s="6" t="s">
        <v>107</v>
      </c>
      <c r="B47" s="6" t="s">
        <v>108</v>
      </c>
      <c r="C47" s="6" t="s">
        <v>22</v>
      </c>
      <c r="D47" s="6">
        <v>56371</v>
      </c>
      <c r="E47" s="6">
        <v>21</v>
      </c>
      <c r="F47" s="6">
        <v>2</v>
      </c>
    </row>
    <row r="48" spans="1:6">
      <c r="A48" s="6" t="s">
        <v>109</v>
      </c>
      <c r="B48" s="6" t="s">
        <v>110</v>
      </c>
      <c r="C48" s="6" t="s">
        <v>17</v>
      </c>
      <c r="D48" s="6">
        <v>32293</v>
      </c>
      <c r="E48" s="6">
        <v>21</v>
      </c>
      <c r="F48" s="6">
        <v>0</v>
      </c>
    </row>
    <row r="49" spans="1:6">
      <c r="A49" s="6" t="s">
        <v>111</v>
      </c>
      <c r="B49" s="6" t="s">
        <v>112</v>
      </c>
      <c r="C49" s="6" t="s">
        <v>29</v>
      </c>
      <c r="D49" s="6">
        <v>103283</v>
      </c>
      <c r="E49" s="6">
        <v>22</v>
      </c>
      <c r="F49" s="6">
        <v>5</v>
      </c>
    </row>
    <row r="50" spans="1:6">
      <c r="A50" s="6" t="s">
        <v>113</v>
      </c>
      <c r="B50" s="6" t="s">
        <v>114</v>
      </c>
      <c r="C50" s="6" t="s">
        <v>17</v>
      </c>
      <c r="D50" s="6">
        <v>115063</v>
      </c>
      <c r="E50" s="6">
        <v>20</v>
      </c>
      <c r="F50" s="6">
        <v>2</v>
      </c>
    </row>
    <row r="51" spans="1:6">
      <c r="A51" s="6" t="s">
        <v>115</v>
      </c>
      <c r="B51" s="6" t="s">
        <v>116</v>
      </c>
      <c r="C51" s="6" t="s">
        <v>77</v>
      </c>
      <c r="D51" s="6">
        <v>44598</v>
      </c>
      <c r="E51" s="6">
        <v>22</v>
      </c>
      <c r="F51" s="6">
        <v>0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topLeftCell="A46" workbookViewId="0">
      <selection activeCell="J1" sqref="A$1:A$1048576 D$1:D$1048576 J$1:J$1048576"/>
    </sheetView>
  </sheetViews>
  <sheetFormatPr defaultColWidth="8.8" defaultRowHeight="13.8"/>
  <cols>
    <col min="1" max="1" width="16.7" customWidth="1"/>
    <col min="2" max="2" width="21.1" customWidth="1"/>
    <col min="3" max="3" width="26.1" customWidth="1"/>
    <col min="4" max="4" width="16.1" customWidth="1"/>
    <col min="5" max="5" width="17.6" customWidth="1"/>
    <col min="6" max="6" width="12.6" customWidth="1"/>
    <col min="7" max="7" width="18.5" customWidth="1"/>
    <col min="8" max="8" width="18.9" customWidth="1"/>
    <col min="9" max="9" width="13.1" customWidth="1"/>
    <col min="10" max="10" width="13.7" customWidth="1"/>
  </cols>
  <sheetData>
    <row r="1" s="3" customFormat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117</v>
      </c>
      <c r="H1" s="5" t="s">
        <v>118</v>
      </c>
      <c r="I1" s="5" t="s">
        <v>119</v>
      </c>
      <c r="J1" s="5" t="s">
        <v>120</v>
      </c>
    </row>
    <row r="2" s="4" customFormat="1" spans="1:10">
      <c r="A2" s="4" t="str">
        <f>DATA!A2</f>
        <v>EMP001</v>
      </c>
      <c r="B2" s="4" t="str">
        <f>DATA!B2</f>
        <v>Charlot Imlaw</v>
      </c>
      <c r="C2" s="4" t="str">
        <f>DATA!C2</f>
        <v>Product Management</v>
      </c>
      <c r="D2" s="4">
        <f>DATA!D2</f>
        <v>21087</v>
      </c>
      <c r="E2" s="4">
        <f>DATA!E2</f>
        <v>18</v>
      </c>
      <c r="F2" s="4">
        <f>DATA!F2</f>
        <v>2</v>
      </c>
      <c r="G2" s="4">
        <f>E2+F2</f>
        <v>20</v>
      </c>
      <c r="H2" s="4">
        <f>D2/G2</f>
        <v>1054.35</v>
      </c>
      <c r="I2" s="4">
        <f>F2*H2</f>
        <v>2108.7</v>
      </c>
      <c r="J2" s="4">
        <f>D2-I2</f>
        <v>18978.3</v>
      </c>
    </row>
    <row r="3" s="4" customFormat="1" spans="1:10">
      <c r="A3" s="4" t="str">
        <f>DATA!A3</f>
        <v>EMP002</v>
      </c>
      <c r="B3" s="4" t="str">
        <f>DATA!B3</f>
        <v>Amelie Wegener</v>
      </c>
      <c r="C3" s="4" t="str">
        <f>DATA!C3</f>
        <v>Business Development</v>
      </c>
      <c r="D3" s="4">
        <f>DATA!D3</f>
        <v>85520</v>
      </c>
      <c r="E3" s="4">
        <f>DATA!E3</f>
        <v>18</v>
      </c>
      <c r="F3" s="4">
        <f>DATA!F3</f>
        <v>5</v>
      </c>
      <c r="G3" s="4">
        <f t="shared" ref="G3:G50" si="0">E3+F3</f>
        <v>23</v>
      </c>
      <c r="H3" s="4">
        <f t="shared" ref="H3:H50" si="1">D3/G3</f>
        <v>3718.26086956522</v>
      </c>
      <c r="I3" s="4">
        <f t="shared" ref="I3:I50" si="2">F3*H3</f>
        <v>18591.3043478261</v>
      </c>
      <c r="J3" s="4">
        <f t="shared" ref="J3:J50" si="3">D3-I3</f>
        <v>66928.6956521739</v>
      </c>
    </row>
    <row r="4" s="4" customFormat="1" spans="1:10">
      <c r="A4" s="4" t="str">
        <f>DATA!A4</f>
        <v>EMP003</v>
      </c>
      <c r="B4" s="4" t="str">
        <f>DATA!B4</f>
        <v>Rahel Bohin</v>
      </c>
      <c r="C4" s="4" t="str">
        <f>DATA!C4</f>
        <v>Training</v>
      </c>
      <c r="D4" s="4">
        <f>DATA!D4</f>
        <v>85604</v>
      </c>
      <c r="E4" s="4">
        <f>DATA!E4</f>
        <v>23</v>
      </c>
      <c r="F4" s="4">
        <f>DATA!F4</f>
        <v>3</v>
      </c>
      <c r="G4" s="4">
        <f t="shared" si="0"/>
        <v>26</v>
      </c>
      <c r="H4" s="4">
        <f t="shared" si="1"/>
        <v>3292.46153846154</v>
      </c>
      <c r="I4" s="4">
        <f t="shared" si="2"/>
        <v>9877.38461538462</v>
      </c>
      <c r="J4" s="4">
        <f t="shared" si="3"/>
        <v>75726.6153846154</v>
      </c>
    </row>
    <row r="5" s="4" customFormat="1" spans="1:10">
      <c r="A5" s="4" t="str">
        <f>DATA!A5</f>
        <v>EMP004</v>
      </c>
      <c r="B5" s="4" t="str">
        <f>DATA!B5</f>
        <v>Kimberlyn Ghilks</v>
      </c>
      <c r="C5" s="4" t="str">
        <f>DATA!C5</f>
        <v>Sales</v>
      </c>
      <c r="D5" s="4">
        <f>DATA!D5</f>
        <v>128815</v>
      </c>
      <c r="E5" s="4">
        <f>DATA!E5</f>
        <v>21</v>
      </c>
      <c r="F5" s="4">
        <f>DATA!F5</f>
        <v>4</v>
      </c>
      <c r="G5" s="4">
        <f t="shared" si="0"/>
        <v>25</v>
      </c>
      <c r="H5" s="4">
        <f t="shared" si="1"/>
        <v>5152.6</v>
      </c>
      <c r="I5" s="4">
        <f t="shared" si="2"/>
        <v>20610.4</v>
      </c>
      <c r="J5" s="4">
        <f t="shared" si="3"/>
        <v>108204.6</v>
      </c>
    </row>
    <row r="6" s="4" customFormat="1" spans="1:10">
      <c r="A6" s="4" t="str">
        <f>DATA!A6</f>
        <v>EMP005</v>
      </c>
      <c r="B6" s="4" t="str">
        <f>DATA!B6</f>
        <v>Dorris Haitlie</v>
      </c>
      <c r="C6" s="4" t="str">
        <f>DATA!C6</f>
        <v>Business Development</v>
      </c>
      <c r="D6" s="4">
        <f>DATA!D6</f>
        <v>78394</v>
      </c>
      <c r="E6" s="4">
        <f>DATA!E6</f>
        <v>23</v>
      </c>
      <c r="F6" s="4">
        <f>DATA!F6</f>
        <v>4</v>
      </c>
      <c r="G6" s="4">
        <f t="shared" si="0"/>
        <v>27</v>
      </c>
      <c r="H6" s="4">
        <f t="shared" si="1"/>
        <v>2903.48148148148</v>
      </c>
      <c r="I6" s="4">
        <f t="shared" si="2"/>
        <v>11613.9259259259</v>
      </c>
      <c r="J6" s="4">
        <f t="shared" si="3"/>
        <v>66780.0740740741</v>
      </c>
    </row>
    <row r="7" s="4" customFormat="1" spans="1:10">
      <c r="A7" s="4" t="str">
        <f>DATA!A7</f>
        <v>EMP006</v>
      </c>
      <c r="B7" s="4" t="str">
        <f>DATA!B7</f>
        <v>Lombard Casewell</v>
      </c>
      <c r="C7" s="4" t="str">
        <f>DATA!C7</f>
        <v>Services</v>
      </c>
      <c r="D7" s="4">
        <f>DATA!D7</f>
        <v>124658</v>
      </c>
      <c r="E7" s="4">
        <f>DATA!E7</f>
        <v>26</v>
      </c>
      <c r="F7" s="4">
        <f>DATA!F7</f>
        <v>3</v>
      </c>
      <c r="G7" s="4">
        <f t="shared" si="0"/>
        <v>29</v>
      </c>
      <c r="H7" s="4">
        <f t="shared" si="1"/>
        <v>4298.55172413793</v>
      </c>
      <c r="I7" s="4">
        <f t="shared" si="2"/>
        <v>12895.6551724138</v>
      </c>
      <c r="J7" s="4">
        <f t="shared" si="3"/>
        <v>111762.344827586</v>
      </c>
    </row>
    <row r="8" s="4" customFormat="1" spans="1:10">
      <c r="A8" s="4" t="str">
        <f>DATA!A8</f>
        <v>EMP007</v>
      </c>
      <c r="B8" s="4" t="str">
        <f>DATA!B8</f>
        <v>Thain Morena</v>
      </c>
      <c r="C8" s="4" t="str">
        <f>DATA!C8</f>
        <v>Product Management</v>
      </c>
      <c r="D8" s="4">
        <f>DATA!D8</f>
        <v>64480</v>
      </c>
      <c r="E8" s="4">
        <f>DATA!E8</f>
        <v>18</v>
      </c>
      <c r="F8" s="4">
        <f>DATA!F8</f>
        <v>3</v>
      </c>
      <c r="G8" s="4">
        <f t="shared" si="0"/>
        <v>21</v>
      </c>
      <c r="H8" s="4">
        <f t="shared" si="1"/>
        <v>3070.47619047619</v>
      </c>
      <c r="I8" s="4">
        <f t="shared" si="2"/>
        <v>9211.42857142857</v>
      </c>
      <c r="J8" s="4">
        <f t="shared" si="3"/>
        <v>55268.5714285714</v>
      </c>
    </row>
    <row r="9" s="4" customFormat="1" spans="1:10">
      <c r="A9" s="4" t="str">
        <f>DATA!A9</f>
        <v>EMP008</v>
      </c>
      <c r="B9" s="4" t="str">
        <f>DATA!B9</f>
        <v>Myrah Kimmons</v>
      </c>
      <c r="C9" s="4" t="str">
        <f>DATA!C9</f>
        <v>Services</v>
      </c>
      <c r="D9" s="4">
        <f>DATA!D9</f>
        <v>149635</v>
      </c>
      <c r="E9" s="4">
        <f>DATA!E9</f>
        <v>26</v>
      </c>
      <c r="F9" s="4">
        <f>DATA!F9</f>
        <v>0</v>
      </c>
      <c r="G9" s="4">
        <f t="shared" si="0"/>
        <v>26</v>
      </c>
      <c r="H9" s="4">
        <f t="shared" si="1"/>
        <v>5755.19230769231</v>
      </c>
      <c r="I9" s="4">
        <f t="shared" si="2"/>
        <v>0</v>
      </c>
      <c r="J9" s="4">
        <f t="shared" si="3"/>
        <v>149635</v>
      </c>
    </row>
    <row r="10" s="4" customFormat="1" spans="1:10">
      <c r="A10" s="4" t="str">
        <f>DATA!A10</f>
        <v>EMP009</v>
      </c>
      <c r="B10" s="4" t="str">
        <f>DATA!B10</f>
        <v>Nico Traylen</v>
      </c>
      <c r="C10" s="4" t="str">
        <f>DATA!C10</f>
        <v>Support</v>
      </c>
      <c r="D10" s="4">
        <f>DATA!D10</f>
        <v>28351</v>
      </c>
      <c r="E10" s="4">
        <f>DATA!E10</f>
        <v>25</v>
      </c>
      <c r="F10" s="4">
        <f>DATA!F10</f>
        <v>2</v>
      </c>
      <c r="G10" s="4">
        <f t="shared" si="0"/>
        <v>27</v>
      </c>
      <c r="H10" s="4">
        <f t="shared" si="1"/>
        <v>1050.03703703704</v>
      </c>
      <c r="I10" s="4">
        <f t="shared" si="2"/>
        <v>2100.07407407407</v>
      </c>
      <c r="J10" s="4">
        <f t="shared" si="3"/>
        <v>26250.9259259259</v>
      </c>
    </row>
    <row r="11" s="4" customFormat="1" spans="1:10">
      <c r="A11" s="4" t="str">
        <f>DATA!A11</f>
        <v>EMP010</v>
      </c>
      <c r="B11" s="4" t="str">
        <f>DATA!B11</f>
        <v>Jed Bridle</v>
      </c>
      <c r="C11" s="4" t="str">
        <f>DATA!C11</f>
        <v>Support</v>
      </c>
      <c r="D11" s="4">
        <f>DATA!D11</f>
        <v>110448</v>
      </c>
      <c r="E11" s="4">
        <f>DATA!E11</f>
        <v>25</v>
      </c>
      <c r="F11" s="4">
        <f>DATA!F11</f>
        <v>1</v>
      </c>
      <c r="G11" s="4">
        <f t="shared" si="0"/>
        <v>26</v>
      </c>
      <c r="H11" s="4">
        <f t="shared" si="1"/>
        <v>4248</v>
      </c>
      <c r="I11" s="4">
        <f t="shared" si="2"/>
        <v>4248</v>
      </c>
      <c r="J11" s="4">
        <f t="shared" si="3"/>
        <v>106200</v>
      </c>
    </row>
    <row r="12" s="4" customFormat="1" spans="1:10">
      <c r="A12" s="4" t="str">
        <f>DATA!A12</f>
        <v>EMP011</v>
      </c>
      <c r="B12" s="4" t="str">
        <f>DATA!B12</f>
        <v>Nolie Rhoades</v>
      </c>
      <c r="C12" s="4" t="str">
        <f>DATA!C12</f>
        <v>Legal</v>
      </c>
      <c r="D12" s="4">
        <f>DATA!D12</f>
        <v>62467</v>
      </c>
      <c r="E12" s="4">
        <f>DATA!E12</f>
        <v>18</v>
      </c>
      <c r="F12" s="4">
        <f>DATA!F12</f>
        <v>3</v>
      </c>
      <c r="G12" s="4">
        <f t="shared" si="0"/>
        <v>21</v>
      </c>
      <c r="H12" s="4">
        <f t="shared" si="1"/>
        <v>2974.61904761905</v>
      </c>
      <c r="I12" s="4">
        <f t="shared" si="2"/>
        <v>8923.85714285714</v>
      </c>
      <c r="J12" s="4">
        <f t="shared" si="3"/>
        <v>53543.1428571429</v>
      </c>
    </row>
    <row r="13" s="4" customFormat="1" spans="1:10">
      <c r="A13" s="4" t="str">
        <f>DATA!A13</f>
        <v>EMP012</v>
      </c>
      <c r="B13" s="4" t="str">
        <f>DATA!B13</f>
        <v>Zelig Turri</v>
      </c>
      <c r="C13" s="4" t="str">
        <f>DATA!C13</f>
        <v>Business Development</v>
      </c>
      <c r="D13" s="4">
        <f>DATA!D13</f>
        <v>17899</v>
      </c>
      <c r="E13" s="4">
        <f>DATA!E13</f>
        <v>19</v>
      </c>
      <c r="F13" s="4">
        <f>DATA!F13</f>
        <v>1</v>
      </c>
      <c r="G13" s="4">
        <f t="shared" si="0"/>
        <v>20</v>
      </c>
      <c r="H13" s="4">
        <f t="shared" si="1"/>
        <v>894.95</v>
      </c>
      <c r="I13" s="4">
        <f t="shared" si="2"/>
        <v>894.95</v>
      </c>
      <c r="J13" s="4">
        <f t="shared" si="3"/>
        <v>17004.05</v>
      </c>
    </row>
    <row r="14" s="4" customFormat="1" spans="1:10">
      <c r="A14" s="4" t="str">
        <f>DATA!A14</f>
        <v>EMP013</v>
      </c>
      <c r="B14" s="4" t="str">
        <f>DATA!B14</f>
        <v>Nikos Shipsey</v>
      </c>
      <c r="C14" s="4" t="str">
        <f>DATA!C14</f>
        <v>Services</v>
      </c>
      <c r="D14" s="4">
        <f>DATA!D14</f>
        <v>109703</v>
      </c>
      <c r="E14" s="4">
        <f>DATA!E14</f>
        <v>21</v>
      </c>
      <c r="F14" s="4">
        <f>DATA!F14</f>
        <v>4</v>
      </c>
      <c r="G14" s="4">
        <f t="shared" si="0"/>
        <v>25</v>
      </c>
      <c r="H14" s="4">
        <f t="shared" si="1"/>
        <v>4388.12</v>
      </c>
      <c r="I14" s="4">
        <f t="shared" si="2"/>
        <v>17552.48</v>
      </c>
      <c r="J14" s="4">
        <f t="shared" si="3"/>
        <v>92150.52</v>
      </c>
    </row>
    <row r="15" s="4" customFormat="1" spans="1:10">
      <c r="A15" s="4" t="str">
        <f>DATA!A15</f>
        <v>EMP014</v>
      </c>
      <c r="B15" s="4" t="str">
        <f>DATA!B15</f>
        <v>Jeniffer Rickets</v>
      </c>
      <c r="C15" s="4" t="str">
        <f>DATA!C15</f>
        <v>Engineering</v>
      </c>
      <c r="D15" s="4">
        <f>DATA!D15</f>
        <v>41732</v>
      </c>
      <c r="E15" s="4">
        <f>DATA!E15</f>
        <v>22</v>
      </c>
      <c r="F15" s="4">
        <f>DATA!F15</f>
        <v>1</v>
      </c>
      <c r="G15" s="4">
        <f t="shared" si="0"/>
        <v>23</v>
      </c>
      <c r="H15" s="4">
        <f t="shared" si="1"/>
        <v>1814.4347826087</v>
      </c>
      <c r="I15" s="4">
        <f t="shared" si="2"/>
        <v>1814.4347826087</v>
      </c>
      <c r="J15" s="4">
        <f t="shared" si="3"/>
        <v>39917.5652173913</v>
      </c>
    </row>
    <row r="16" s="4" customFormat="1" spans="1:10">
      <c r="A16" s="4" t="str">
        <f>DATA!A16</f>
        <v>EMP015</v>
      </c>
      <c r="B16" s="4" t="str">
        <f>DATA!B16</f>
        <v>Rivy Binney</v>
      </c>
      <c r="C16" s="4" t="str">
        <f>DATA!C16</f>
        <v>Sales</v>
      </c>
      <c r="D16" s="4">
        <f>DATA!D16</f>
        <v>75599</v>
      </c>
      <c r="E16" s="4">
        <f>DATA!E16</f>
        <v>25</v>
      </c>
      <c r="F16" s="4">
        <f>DATA!F16</f>
        <v>5</v>
      </c>
      <c r="G16" s="4">
        <f t="shared" si="0"/>
        <v>30</v>
      </c>
      <c r="H16" s="4">
        <f t="shared" si="1"/>
        <v>2519.96666666667</v>
      </c>
      <c r="I16" s="4">
        <f t="shared" si="2"/>
        <v>12599.8333333333</v>
      </c>
      <c r="J16" s="4">
        <f t="shared" si="3"/>
        <v>62999.1666666667</v>
      </c>
    </row>
    <row r="17" s="4" customFormat="1" spans="1:10">
      <c r="A17" s="4" t="str">
        <f>DATA!A17</f>
        <v>EMP016</v>
      </c>
      <c r="B17" s="4" t="str">
        <f>DATA!B17</f>
        <v>Kippar Clappson</v>
      </c>
      <c r="C17" s="4" t="str">
        <f>DATA!C17</f>
        <v>Research and Development</v>
      </c>
      <c r="D17" s="4">
        <f>DATA!D17</f>
        <v>145170</v>
      </c>
      <c r="E17" s="4">
        <f>DATA!E17</f>
        <v>25</v>
      </c>
      <c r="F17" s="4">
        <f>DATA!F17</f>
        <v>0</v>
      </c>
      <c r="G17" s="4">
        <f t="shared" si="0"/>
        <v>25</v>
      </c>
      <c r="H17" s="4">
        <f t="shared" si="1"/>
        <v>5806.8</v>
      </c>
      <c r="I17" s="4">
        <f t="shared" si="2"/>
        <v>0</v>
      </c>
      <c r="J17" s="4">
        <f t="shared" si="3"/>
        <v>145170</v>
      </c>
    </row>
    <row r="18" s="4" customFormat="1" spans="1:10">
      <c r="A18" s="4" t="str">
        <f>DATA!A18</f>
        <v>EMP017</v>
      </c>
      <c r="B18" s="4" t="str">
        <f>DATA!B18</f>
        <v>Arnaldo Darnell</v>
      </c>
      <c r="C18" s="4" t="str">
        <f>DATA!C18</f>
        <v>Engineering</v>
      </c>
      <c r="D18" s="4">
        <f>DATA!D18</f>
        <v>148858</v>
      </c>
      <c r="E18" s="4">
        <f>DATA!E18</f>
        <v>23</v>
      </c>
      <c r="F18" s="4">
        <f>DATA!F18</f>
        <v>0</v>
      </c>
      <c r="G18" s="4">
        <f t="shared" si="0"/>
        <v>23</v>
      </c>
      <c r="H18" s="4">
        <f t="shared" si="1"/>
        <v>6472.08695652174</v>
      </c>
      <c r="I18" s="4">
        <f t="shared" si="2"/>
        <v>0</v>
      </c>
      <c r="J18" s="4">
        <f t="shared" si="3"/>
        <v>148858</v>
      </c>
    </row>
    <row r="19" s="4" customFormat="1" spans="1:10">
      <c r="A19" s="4" t="str">
        <f>DATA!A19</f>
        <v>EMP018</v>
      </c>
      <c r="B19" s="4" t="str">
        <f>DATA!B19</f>
        <v>Emalia Franzini</v>
      </c>
      <c r="C19" s="4" t="str">
        <f>DATA!C19</f>
        <v>Engineering</v>
      </c>
      <c r="D19" s="4">
        <f>DATA!D19</f>
        <v>29807</v>
      </c>
      <c r="E19" s="4">
        <f>DATA!E19</f>
        <v>19</v>
      </c>
      <c r="F19" s="4">
        <f>DATA!F19</f>
        <v>1</v>
      </c>
      <c r="G19" s="4">
        <f t="shared" si="0"/>
        <v>20</v>
      </c>
      <c r="H19" s="4">
        <f t="shared" si="1"/>
        <v>1490.35</v>
      </c>
      <c r="I19" s="4">
        <f t="shared" si="2"/>
        <v>1490.35</v>
      </c>
      <c r="J19" s="4">
        <f t="shared" si="3"/>
        <v>28316.65</v>
      </c>
    </row>
    <row r="20" s="4" customFormat="1" spans="1:10">
      <c r="A20" s="4" t="str">
        <f>DATA!A20</f>
        <v>EMP019</v>
      </c>
      <c r="B20" s="4" t="str">
        <f>DATA!B20</f>
        <v>Geraldine Gilffilland</v>
      </c>
      <c r="C20" s="4" t="str">
        <f>DATA!C20</f>
        <v>Engineering</v>
      </c>
      <c r="D20" s="4">
        <f>DATA!D20</f>
        <v>113701</v>
      </c>
      <c r="E20" s="4">
        <f>DATA!E20</f>
        <v>25</v>
      </c>
      <c r="F20" s="4">
        <f>DATA!F20</f>
        <v>2</v>
      </c>
      <c r="G20" s="4">
        <f t="shared" si="0"/>
        <v>27</v>
      </c>
      <c r="H20" s="4">
        <f t="shared" si="1"/>
        <v>4211.14814814815</v>
      </c>
      <c r="I20" s="4">
        <f t="shared" si="2"/>
        <v>8422.2962962963</v>
      </c>
      <c r="J20" s="4">
        <f t="shared" si="3"/>
        <v>105278.703703704</v>
      </c>
    </row>
    <row r="21" s="4" customFormat="1" spans="1:10">
      <c r="A21" s="4" t="str">
        <f>DATA!A21</f>
        <v>EMP020</v>
      </c>
      <c r="B21" s="4" t="str">
        <f>DATA!B21</f>
        <v>Pietrek Ianittello</v>
      </c>
      <c r="C21" s="4" t="str">
        <f>DATA!C21</f>
        <v>Support</v>
      </c>
      <c r="D21" s="4">
        <f>DATA!D21</f>
        <v>134633</v>
      </c>
      <c r="E21" s="4">
        <f>DATA!E21</f>
        <v>24</v>
      </c>
      <c r="F21" s="4">
        <f>DATA!F21</f>
        <v>4</v>
      </c>
      <c r="G21" s="4">
        <f t="shared" si="0"/>
        <v>28</v>
      </c>
      <c r="H21" s="4">
        <f t="shared" si="1"/>
        <v>4808.32142857143</v>
      </c>
      <c r="I21" s="4">
        <f t="shared" si="2"/>
        <v>19233.2857142857</v>
      </c>
      <c r="J21" s="4">
        <f t="shared" si="3"/>
        <v>115399.714285714</v>
      </c>
    </row>
    <row r="22" s="4" customFormat="1" spans="1:10">
      <c r="A22" s="4" t="str">
        <f>DATA!A22</f>
        <v>EMP021</v>
      </c>
      <c r="B22" s="4" t="str">
        <f>DATA!B22</f>
        <v>Kahaleel Dubery</v>
      </c>
      <c r="C22" s="4" t="str">
        <f>DATA!C22</f>
        <v>Product Management</v>
      </c>
      <c r="D22" s="4">
        <f>DATA!D22</f>
        <v>27365</v>
      </c>
      <c r="E22" s="4">
        <f>DATA!E22</f>
        <v>18</v>
      </c>
      <c r="F22" s="4">
        <f>DATA!F22</f>
        <v>2</v>
      </c>
      <c r="G22" s="4">
        <f t="shared" si="0"/>
        <v>20</v>
      </c>
      <c r="H22" s="4">
        <f t="shared" si="1"/>
        <v>1368.25</v>
      </c>
      <c r="I22" s="4">
        <f t="shared" si="2"/>
        <v>2736.5</v>
      </c>
      <c r="J22" s="4">
        <f t="shared" si="3"/>
        <v>24628.5</v>
      </c>
    </row>
    <row r="23" s="4" customFormat="1" spans="1:10">
      <c r="A23" s="4" t="str">
        <f>DATA!A23</f>
        <v>EMP022</v>
      </c>
      <c r="B23" s="4" t="str">
        <f>DATA!B23</f>
        <v>Jessey Pittham</v>
      </c>
      <c r="C23" s="4" t="str">
        <f>DATA!C23</f>
        <v>Research and Development</v>
      </c>
      <c r="D23" s="4">
        <f>DATA!D23</f>
        <v>119462</v>
      </c>
      <c r="E23" s="4">
        <f>DATA!E23</f>
        <v>21</v>
      </c>
      <c r="F23" s="4">
        <f>DATA!F23</f>
        <v>0</v>
      </c>
      <c r="G23" s="4">
        <f t="shared" si="0"/>
        <v>21</v>
      </c>
      <c r="H23" s="4">
        <f t="shared" si="1"/>
        <v>5688.66666666667</v>
      </c>
      <c r="I23" s="4">
        <f t="shared" si="2"/>
        <v>0</v>
      </c>
      <c r="J23" s="4">
        <f t="shared" si="3"/>
        <v>119462</v>
      </c>
    </row>
    <row r="24" s="4" customFormat="1" spans="1:10">
      <c r="A24" s="4" t="str">
        <f>DATA!A24</f>
        <v>EMP023</v>
      </c>
      <c r="B24" s="4" t="str">
        <f>DATA!B24</f>
        <v>Clemmy Ferries</v>
      </c>
      <c r="C24" s="4" t="str">
        <f>DATA!C24</f>
        <v>Training</v>
      </c>
      <c r="D24" s="4">
        <f>DATA!D24</f>
        <v>139466</v>
      </c>
      <c r="E24" s="4">
        <f>DATA!E24</f>
        <v>19</v>
      </c>
      <c r="F24" s="4">
        <f>DATA!F24</f>
        <v>4</v>
      </c>
      <c r="G24" s="4">
        <f t="shared" si="0"/>
        <v>23</v>
      </c>
      <c r="H24" s="4">
        <f t="shared" si="1"/>
        <v>6063.73913043478</v>
      </c>
      <c r="I24" s="4">
        <f t="shared" si="2"/>
        <v>24254.9565217391</v>
      </c>
      <c r="J24" s="4">
        <f t="shared" si="3"/>
        <v>115211.043478261</v>
      </c>
    </row>
    <row r="25" s="4" customFormat="1" spans="1:10">
      <c r="A25" s="4" t="str">
        <f>DATA!A25</f>
        <v>EMP024</v>
      </c>
      <c r="B25" s="4" t="str">
        <f>DATA!B25</f>
        <v>Reynolds Veryan</v>
      </c>
      <c r="C25" s="4" t="str">
        <f>DATA!C25</f>
        <v>Research and Development</v>
      </c>
      <c r="D25" s="4">
        <f>DATA!D25</f>
        <v>91475</v>
      </c>
      <c r="E25" s="4">
        <f>DATA!E25</f>
        <v>20</v>
      </c>
      <c r="F25" s="4">
        <f>DATA!F25</f>
        <v>1</v>
      </c>
      <c r="G25" s="4">
        <f t="shared" si="0"/>
        <v>21</v>
      </c>
      <c r="H25" s="4">
        <f t="shared" si="1"/>
        <v>4355.95238095238</v>
      </c>
      <c r="I25" s="4">
        <f t="shared" si="2"/>
        <v>4355.95238095238</v>
      </c>
      <c r="J25" s="4">
        <f t="shared" si="3"/>
        <v>87119.0476190476</v>
      </c>
    </row>
    <row r="26" s="4" customFormat="1" spans="1:10">
      <c r="A26" s="4" t="str">
        <f>DATA!A26</f>
        <v>EMP025</v>
      </c>
      <c r="B26" s="4" t="str">
        <f>DATA!B26</f>
        <v>Mohammed Cattrall</v>
      </c>
      <c r="C26" s="4" t="str">
        <f>DATA!C26</f>
        <v>Training</v>
      </c>
      <c r="D26" s="4">
        <f>DATA!D26</f>
        <v>79214</v>
      </c>
      <c r="E26" s="4">
        <f>DATA!E26</f>
        <v>21</v>
      </c>
      <c r="F26" s="4">
        <f>DATA!F26</f>
        <v>4</v>
      </c>
      <c r="G26" s="4">
        <f t="shared" si="0"/>
        <v>25</v>
      </c>
      <c r="H26" s="4">
        <f t="shared" si="1"/>
        <v>3168.56</v>
      </c>
      <c r="I26" s="4">
        <f t="shared" si="2"/>
        <v>12674.24</v>
      </c>
      <c r="J26" s="4">
        <f t="shared" si="3"/>
        <v>66539.76</v>
      </c>
    </row>
    <row r="27" s="4" customFormat="1" spans="1:10">
      <c r="A27" s="4" t="str">
        <f>DATA!A27</f>
        <v>EMP026</v>
      </c>
      <c r="B27" s="4" t="str">
        <f>DATA!B27</f>
        <v>Ainslee Smedley</v>
      </c>
      <c r="C27" s="4" t="str">
        <f>DATA!C27</f>
        <v>Legal</v>
      </c>
      <c r="D27" s="4">
        <f>DATA!D27</f>
        <v>86333</v>
      </c>
      <c r="E27" s="4">
        <f>DATA!E27</f>
        <v>18</v>
      </c>
      <c r="F27" s="4">
        <f>DATA!F27</f>
        <v>4</v>
      </c>
      <c r="G27" s="4">
        <f t="shared" si="0"/>
        <v>22</v>
      </c>
      <c r="H27" s="4">
        <f t="shared" si="1"/>
        <v>3924.22727272727</v>
      </c>
      <c r="I27" s="4">
        <f t="shared" si="2"/>
        <v>15696.9090909091</v>
      </c>
      <c r="J27" s="4">
        <f t="shared" si="3"/>
        <v>70636.0909090909</v>
      </c>
    </row>
    <row r="28" s="4" customFormat="1" spans="1:10">
      <c r="A28" s="4" t="str">
        <f>DATA!A28</f>
        <v>EMP027</v>
      </c>
      <c r="B28" s="4" t="str">
        <f>DATA!B28</f>
        <v>Tabby Behning</v>
      </c>
      <c r="C28" s="4" t="str">
        <f>DATA!C28</f>
        <v>Services</v>
      </c>
      <c r="D28" s="4">
        <f>DATA!D28</f>
        <v>49491</v>
      </c>
      <c r="E28" s="4">
        <f>DATA!E28</f>
        <v>18</v>
      </c>
      <c r="F28" s="4">
        <f>DATA!F28</f>
        <v>2</v>
      </c>
      <c r="G28" s="4">
        <f t="shared" si="0"/>
        <v>20</v>
      </c>
      <c r="H28" s="4">
        <f t="shared" si="1"/>
        <v>2474.55</v>
      </c>
      <c r="I28" s="4">
        <f t="shared" si="2"/>
        <v>4949.1</v>
      </c>
      <c r="J28" s="4">
        <f t="shared" si="3"/>
        <v>44541.9</v>
      </c>
    </row>
    <row r="29" s="4" customFormat="1" spans="1:10">
      <c r="A29" s="4" t="str">
        <f>DATA!A29</f>
        <v>EMP028</v>
      </c>
      <c r="B29" s="4" t="str">
        <f>DATA!B29</f>
        <v>Sherie McReynolds</v>
      </c>
      <c r="C29" s="4" t="str">
        <f>DATA!C29</f>
        <v>Services</v>
      </c>
      <c r="D29" s="4">
        <f>DATA!D29</f>
        <v>106026</v>
      </c>
      <c r="E29" s="4">
        <f>DATA!E29</f>
        <v>19</v>
      </c>
      <c r="F29" s="4">
        <f>DATA!F29</f>
        <v>3</v>
      </c>
      <c r="G29" s="4">
        <f t="shared" si="0"/>
        <v>22</v>
      </c>
      <c r="H29" s="4">
        <f t="shared" si="1"/>
        <v>4819.36363636364</v>
      </c>
      <c r="I29" s="4">
        <f t="shared" si="2"/>
        <v>14458.0909090909</v>
      </c>
      <c r="J29" s="4">
        <f t="shared" si="3"/>
        <v>91567.9090909091</v>
      </c>
    </row>
    <row r="30" s="4" customFormat="1" spans="1:10">
      <c r="A30" s="4" t="str">
        <f>DATA!A30</f>
        <v>EMP029</v>
      </c>
      <c r="B30" s="4" t="str">
        <f>DATA!B30</f>
        <v>Leticia Mattingley</v>
      </c>
      <c r="C30" s="4" t="str">
        <f>DATA!C30</f>
        <v>Business Development</v>
      </c>
      <c r="D30" s="4">
        <f>DATA!D30</f>
        <v>62708</v>
      </c>
      <c r="E30" s="4">
        <f>DATA!E30</f>
        <v>18</v>
      </c>
      <c r="F30" s="4">
        <f>DATA!F30</f>
        <v>4</v>
      </c>
      <c r="G30" s="4">
        <f t="shared" si="0"/>
        <v>22</v>
      </c>
      <c r="H30" s="4">
        <f t="shared" si="1"/>
        <v>2850.36363636364</v>
      </c>
      <c r="I30" s="4">
        <f t="shared" si="2"/>
        <v>11401.4545454545</v>
      </c>
      <c r="J30" s="4">
        <f t="shared" si="3"/>
        <v>51306.5454545455</v>
      </c>
    </row>
    <row r="31" s="4" customFormat="1" spans="1:10">
      <c r="A31" s="4" t="str">
        <f>DATA!A31</f>
        <v>EMP030</v>
      </c>
      <c r="B31" s="4" t="str">
        <f>DATA!B31</f>
        <v>Ivette Procter</v>
      </c>
      <c r="C31" s="4" t="str">
        <f>DATA!C31</f>
        <v>Engineering</v>
      </c>
      <c r="D31" s="4">
        <f>DATA!D31</f>
        <v>111462</v>
      </c>
      <c r="E31" s="4">
        <f>DATA!E31</f>
        <v>24</v>
      </c>
      <c r="F31" s="4">
        <f>DATA!F31</f>
        <v>1</v>
      </c>
      <c r="G31" s="4">
        <f t="shared" si="0"/>
        <v>25</v>
      </c>
      <c r="H31" s="4">
        <f t="shared" si="1"/>
        <v>4458.48</v>
      </c>
      <c r="I31" s="4">
        <f t="shared" si="2"/>
        <v>4458.48</v>
      </c>
      <c r="J31" s="4">
        <f t="shared" si="3"/>
        <v>107003.52</v>
      </c>
    </row>
    <row r="32" s="4" customFormat="1" spans="1:10">
      <c r="A32" s="4" t="str">
        <f>DATA!A32</f>
        <v>EMP031</v>
      </c>
      <c r="B32" s="4" t="str">
        <f>DATA!B32</f>
        <v>Cahra Duprey</v>
      </c>
      <c r="C32" s="4" t="str">
        <f>DATA!C32</f>
        <v>Accounting</v>
      </c>
      <c r="D32" s="4">
        <f>DATA!D32</f>
        <v>127198</v>
      </c>
      <c r="E32" s="4">
        <f>DATA!E32</f>
        <v>19</v>
      </c>
      <c r="F32" s="4">
        <f>DATA!F32</f>
        <v>4</v>
      </c>
      <c r="G32" s="4">
        <f t="shared" si="0"/>
        <v>23</v>
      </c>
      <c r="H32" s="4">
        <f t="shared" si="1"/>
        <v>5530.34782608696</v>
      </c>
      <c r="I32" s="4">
        <f t="shared" si="2"/>
        <v>22121.3913043478</v>
      </c>
      <c r="J32" s="4">
        <f t="shared" si="3"/>
        <v>105076.608695652</v>
      </c>
    </row>
    <row r="33" s="4" customFormat="1" spans="1:10">
      <c r="A33" s="4" t="str">
        <f>DATA!A33</f>
        <v>EMP032</v>
      </c>
      <c r="B33" s="4" t="str">
        <f>DATA!B33</f>
        <v>Skylar Rennolds</v>
      </c>
      <c r="C33" s="4" t="str">
        <f>DATA!C33</f>
        <v>Product Management</v>
      </c>
      <c r="D33" s="4">
        <f>DATA!D33</f>
        <v>34042</v>
      </c>
      <c r="E33" s="4">
        <f>DATA!E33</f>
        <v>23</v>
      </c>
      <c r="F33" s="4">
        <f>DATA!F33</f>
        <v>4</v>
      </c>
      <c r="G33" s="4">
        <f t="shared" si="0"/>
        <v>27</v>
      </c>
      <c r="H33" s="4">
        <f t="shared" si="1"/>
        <v>1260.81481481481</v>
      </c>
      <c r="I33" s="4">
        <f t="shared" si="2"/>
        <v>5043.25925925926</v>
      </c>
      <c r="J33" s="4">
        <f t="shared" si="3"/>
        <v>28998.7407407407</v>
      </c>
    </row>
    <row r="34" s="4" customFormat="1" spans="1:10">
      <c r="A34" s="4" t="str">
        <f>DATA!A34</f>
        <v>EMP033</v>
      </c>
      <c r="B34" s="4" t="str">
        <f>DATA!B34</f>
        <v>Vin Lisciandri</v>
      </c>
      <c r="C34" s="4" t="str">
        <f>DATA!C34</f>
        <v>Sales</v>
      </c>
      <c r="D34" s="4">
        <f>DATA!D34</f>
        <v>104444</v>
      </c>
      <c r="E34" s="4">
        <f>DATA!E34</f>
        <v>23</v>
      </c>
      <c r="F34" s="4">
        <f>DATA!F34</f>
        <v>4</v>
      </c>
      <c r="G34" s="4">
        <f t="shared" si="0"/>
        <v>27</v>
      </c>
      <c r="H34" s="4">
        <f t="shared" si="1"/>
        <v>3868.2962962963</v>
      </c>
      <c r="I34" s="4">
        <f t="shared" si="2"/>
        <v>15473.1851851852</v>
      </c>
      <c r="J34" s="4">
        <f t="shared" si="3"/>
        <v>88970.8148148148</v>
      </c>
    </row>
    <row r="35" s="4" customFormat="1" spans="1:10">
      <c r="A35" s="4" t="str">
        <f>DATA!A35</f>
        <v>EMP034</v>
      </c>
      <c r="B35" s="4" t="str">
        <f>DATA!B35</f>
        <v>Norina Arthur</v>
      </c>
      <c r="C35" s="4" t="str">
        <f>DATA!C35</f>
        <v>Business Development</v>
      </c>
      <c r="D35" s="4">
        <f>DATA!D35</f>
        <v>135827</v>
      </c>
      <c r="E35" s="4">
        <f>DATA!E35</f>
        <v>23</v>
      </c>
      <c r="F35" s="4">
        <f>DATA!F35</f>
        <v>0</v>
      </c>
      <c r="G35" s="4">
        <f t="shared" si="0"/>
        <v>23</v>
      </c>
      <c r="H35" s="4">
        <f t="shared" si="1"/>
        <v>5905.52173913043</v>
      </c>
      <c r="I35" s="4">
        <f t="shared" si="2"/>
        <v>0</v>
      </c>
      <c r="J35" s="4">
        <f t="shared" si="3"/>
        <v>135827</v>
      </c>
    </row>
    <row r="36" s="4" customFormat="1" spans="1:10">
      <c r="A36" s="4" t="str">
        <f>DATA!A36</f>
        <v>EMP035</v>
      </c>
      <c r="B36" s="4" t="str">
        <f>DATA!B36</f>
        <v>Bran Rothman</v>
      </c>
      <c r="C36" s="4" t="str">
        <f>DATA!C36</f>
        <v>Services</v>
      </c>
      <c r="D36" s="4">
        <f>DATA!D36</f>
        <v>80575</v>
      </c>
      <c r="E36" s="4">
        <f>DATA!E36</f>
        <v>21</v>
      </c>
      <c r="F36" s="4">
        <f>DATA!F36</f>
        <v>0</v>
      </c>
      <c r="G36" s="4">
        <f t="shared" si="0"/>
        <v>21</v>
      </c>
      <c r="H36" s="4">
        <f t="shared" si="1"/>
        <v>3836.90476190476</v>
      </c>
      <c r="I36" s="4">
        <f t="shared" si="2"/>
        <v>0</v>
      </c>
      <c r="J36" s="4">
        <f t="shared" si="3"/>
        <v>80575</v>
      </c>
    </row>
    <row r="37" s="4" customFormat="1" spans="1:10">
      <c r="A37" s="4" t="str">
        <f>DATA!A37</f>
        <v>EMP036</v>
      </c>
      <c r="B37" s="4" t="str">
        <f>DATA!B37</f>
        <v>Ynez Crumley</v>
      </c>
      <c r="C37" s="4" t="str">
        <f>DATA!C37</f>
        <v>Business Development</v>
      </c>
      <c r="D37" s="4">
        <f>DATA!D37</f>
        <v>59342</v>
      </c>
      <c r="E37" s="4">
        <f>DATA!E37</f>
        <v>24</v>
      </c>
      <c r="F37" s="4">
        <f>DATA!F37</f>
        <v>4</v>
      </c>
      <c r="G37" s="4">
        <f t="shared" si="0"/>
        <v>28</v>
      </c>
      <c r="H37" s="4">
        <f t="shared" si="1"/>
        <v>2119.35714285714</v>
      </c>
      <c r="I37" s="4">
        <f t="shared" si="2"/>
        <v>8477.42857142857</v>
      </c>
      <c r="J37" s="4">
        <f t="shared" si="3"/>
        <v>50864.5714285714</v>
      </c>
    </row>
    <row r="38" s="4" customFormat="1" spans="1:10">
      <c r="A38" s="4" t="str">
        <f>DATA!A38</f>
        <v>EMP037</v>
      </c>
      <c r="B38" s="4" t="str">
        <f>DATA!B38</f>
        <v>Rory Tomsen</v>
      </c>
      <c r="C38" s="4" t="str">
        <f>DATA!C38</f>
        <v>Sales</v>
      </c>
      <c r="D38" s="4">
        <f>DATA!D38</f>
        <v>82182</v>
      </c>
      <c r="E38" s="4">
        <f>DATA!E38</f>
        <v>24</v>
      </c>
      <c r="F38" s="4">
        <f>DATA!F38</f>
        <v>5</v>
      </c>
      <c r="G38" s="4">
        <f t="shared" si="0"/>
        <v>29</v>
      </c>
      <c r="H38" s="4">
        <f t="shared" si="1"/>
        <v>2833.86206896552</v>
      </c>
      <c r="I38" s="4">
        <f t="shared" si="2"/>
        <v>14169.3103448276</v>
      </c>
      <c r="J38" s="4">
        <f t="shared" si="3"/>
        <v>68012.6896551724</v>
      </c>
    </row>
    <row r="39" s="4" customFormat="1" spans="1:10">
      <c r="A39" s="4" t="str">
        <f>DATA!A39</f>
        <v>EMP038</v>
      </c>
      <c r="B39" s="4" t="str">
        <f>DATA!B39</f>
        <v>Charity Iveans</v>
      </c>
      <c r="C39" s="4" t="str">
        <f>DATA!C39</f>
        <v>Support</v>
      </c>
      <c r="D39" s="4">
        <f>DATA!D39</f>
        <v>129596</v>
      </c>
      <c r="E39" s="4">
        <f>DATA!E39</f>
        <v>23</v>
      </c>
      <c r="F39" s="4">
        <f>DATA!F39</f>
        <v>3</v>
      </c>
      <c r="G39" s="4">
        <f t="shared" si="0"/>
        <v>26</v>
      </c>
      <c r="H39" s="4">
        <f t="shared" si="1"/>
        <v>4984.46153846154</v>
      </c>
      <c r="I39" s="4">
        <f t="shared" si="2"/>
        <v>14953.3846153846</v>
      </c>
      <c r="J39" s="4">
        <f t="shared" si="3"/>
        <v>114642.615384615</v>
      </c>
    </row>
    <row r="40" s="4" customFormat="1" spans="1:10">
      <c r="A40" s="4" t="str">
        <f>DATA!A40</f>
        <v>EMP039</v>
      </c>
      <c r="B40" s="4" t="str">
        <f>DATA!B40</f>
        <v>Virge Haughey</v>
      </c>
      <c r="C40" s="4" t="str">
        <f>DATA!C40</f>
        <v>Human Resources</v>
      </c>
      <c r="D40" s="4">
        <f>DATA!D40</f>
        <v>29247</v>
      </c>
      <c r="E40" s="4">
        <f>DATA!E40</f>
        <v>23</v>
      </c>
      <c r="F40" s="4">
        <f>DATA!F40</f>
        <v>3</v>
      </c>
      <c r="G40" s="4">
        <f t="shared" si="0"/>
        <v>26</v>
      </c>
      <c r="H40" s="4">
        <f t="shared" si="1"/>
        <v>1124.88461538462</v>
      </c>
      <c r="I40" s="4">
        <f t="shared" si="2"/>
        <v>3374.65384615385</v>
      </c>
      <c r="J40" s="4">
        <f t="shared" si="3"/>
        <v>25872.3461538462</v>
      </c>
    </row>
    <row r="41" s="4" customFormat="1" spans="1:10">
      <c r="A41" s="4" t="str">
        <f>DATA!A41</f>
        <v>EMP040</v>
      </c>
      <c r="B41" s="4" t="str">
        <f>DATA!B41</f>
        <v>Philippine Edney</v>
      </c>
      <c r="C41" s="4" t="str">
        <f>DATA!C41</f>
        <v>Engineering</v>
      </c>
      <c r="D41" s="4">
        <f>DATA!D41</f>
        <v>25715</v>
      </c>
      <c r="E41" s="4">
        <f>DATA!E41</f>
        <v>21</v>
      </c>
      <c r="F41" s="4">
        <f>DATA!F41</f>
        <v>5</v>
      </c>
      <c r="G41" s="4">
        <f t="shared" si="0"/>
        <v>26</v>
      </c>
      <c r="H41" s="4">
        <f t="shared" si="1"/>
        <v>989.038461538462</v>
      </c>
      <c r="I41" s="4">
        <f t="shared" si="2"/>
        <v>4945.19230769231</v>
      </c>
      <c r="J41" s="4">
        <f t="shared" si="3"/>
        <v>20769.8076923077</v>
      </c>
    </row>
    <row r="42" s="4" customFormat="1" spans="1:10">
      <c r="A42" s="4" t="str">
        <f>DATA!A42</f>
        <v>EMP041</v>
      </c>
      <c r="B42" s="4" t="str">
        <f>DATA!B42</f>
        <v>Faydra Cayle</v>
      </c>
      <c r="C42" s="4" t="str">
        <f>DATA!C42</f>
        <v>Research and Development</v>
      </c>
      <c r="D42" s="4">
        <f>DATA!D42</f>
        <v>140419</v>
      </c>
      <c r="E42" s="4">
        <f>DATA!E42</f>
        <v>22</v>
      </c>
      <c r="F42" s="4">
        <f>DATA!F42</f>
        <v>2</v>
      </c>
      <c r="G42" s="4">
        <f t="shared" si="0"/>
        <v>24</v>
      </c>
      <c r="H42" s="4">
        <f t="shared" si="1"/>
        <v>5850.79166666667</v>
      </c>
      <c r="I42" s="4">
        <f t="shared" si="2"/>
        <v>11701.5833333333</v>
      </c>
      <c r="J42" s="4">
        <f t="shared" si="3"/>
        <v>128717.416666667</v>
      </c>
    </row>
    <row r="43" s="4" customFormat="1" spans="1:10">
      <c r="A43" s="4" t="str">
        <f>DATA!A43</f>
        <v>EMP042</v>
      </c>
      <c r="B43" s="4" t="str">
        <f>DATA!B43</f>
        <v>Anya Yeardsley</v>
      </c>
      <c r="C43" s="4" t="str">
        <f>DATA!C43</f>
        <v>Sales</v>
      </c>
      <c r="D43" s="4">
        <f>DATA!D43</f>
        <v>84699</v>
      </c>
      <c r="E43" s="4">
        <f>DATA!E43</f>
        <v>18</v>
      </c>
      <c r="F43" s="4">
        <f>DATA!F43</f>
        <v>1</v>
      </c>
      <c r="G43" s="4">
        <f t="shared" si="0"/>
        <v>19</v>
      </c>
      <c r="H43" s="4">
        <f t="shared" si="1"/>
        <v>4457.84210526316</v>
      </c>
      <c r="I43" s="4">
        <f t="shared" si="2"/>
        <v>4457.84210526316</v>
      </c>
      <c r="J43" s="4">
        <f t="shared" si="3"/>
        <v>80241.1578947368</v>
      </c>
    </row>
    <row r="44" s="4" customFormat="1" spans="1:10">
      <c r="A44" s="4" t="str">
        <f>DATA!A44</f>
        <v>EMP043</v>
      </c>
      <c r="B44" s="4" t="str">
        <f>DATA!B44</f>
        <v>Dale Duesberry</v>
      </c>
      <c r="C44" s="4" t="str">
        <f>DATA!C44</f>
        <v>Sales</v>
      </c>
      <c r="D44" s="4">
        <f>DATA!D44</f>
        <v>104986</v>
      </c>
      <c r="E44" s="4">
        <f>DATA!E44</f>
        <v>24</v>
      </c>
      <c r="F44" s="4">
        <f>DATA!F44</f>
        <v>2</v>
      </c>
      <c r="G44" s="4">
        <f t="shared" si="0"/>
        <v>26</v>
      </c>
      <c r="H44" s="4">
        <f t="shared" si="1"/>
        <v>4037.92307692308</v>
      </c>
      <c r="I44" s="4">
        <f t="shared" si="2"/>
        <v>8075.84615384615</v>
      </c>
      <c r="J44" s="4">
        <f t="shared" si="3"/>
        <v>96910.1538461538</v>
      </c>
    </row>
    <row r="45" s="4" customFormat="1" spans="1:10">
      <c r="A45" s="4" t="str">
        <f>DATA!A45</f>
        <v>EMP044</v>
      </c>
      <c r="B45" s="4" t="str">
        <f>DATA!B45</f>
        <v>Bryan Noice</v>
      </c>
      <c r="C45" s="4" t="str">
        <f>DATA!C45</f>
        <v>Business Development</v>
      </c>
      <c r="D45" s="4">
        <f>DATA!D45</f>
        <v>27416</v>
      </c>
      <c r="E45" s="4">
        <f>DATA!E45</f>
        <v>20</v>
      </c>
      <c r="F45" s="4">
        <f>DATA!F45</f>
        <v>4</v>
      </c>
      <c r="G45" s="4">
        <f t="shared" si="0"/>
        <v>24</v>
      </c>
      <c r="H45" s="4">
        <f t="shared" si="1"/>
        <v>1142.33333333333</v>
      </c>
      <c r="I45" s="4">
        <f t="shared" si="2"/>
        <v>4569.33333333333</v>
      </c>
      <c r="J45" s="4">
        <f t="shared" si="3"/>
        <v>22846.6666666667</v>
      </c>
    </row>
    <row r="46" s="4" customFormat="1" spans="1:10">
      <c r="A46" s="4" t="str">
        <f>DATA!A46</f>
        <v>EMP045</v>
      </c>
      <c r="B46" s="4" t="str">
        <f>DATA!B46</f>
        <v>Freemon Penhalewick</v>
      </c>
      <c r="C46" s="4" t="str">
        <f>DATA!C46</f>
        <v>Services</v>
      </c>
      <c r="D46" s="4">
        <f>DATA!D46</f>
        <v>30928</v>
      </c>
      <c r="E46" s="4">
        <f>DATA!E46</f>
        <v>21</v>
      </c>
      <c r="F46" s="4">
        <f>DATA!F46</f>
        <v>5</v>
      </c>
      <c r="G46" s="4">
        <f t="shared" si="0"/>
        <v>26</v>
      </c>
      <c r="H46" s="4">
        <f t="shared" si="1"/>
        <v>1189.53846153846</v>
      </c>
      <c r="I46" s="4">
        <f t="shared" si="2"/>
        <v>5947.69230769231</v>
      </c>
      <c r="J46" s="4">
        <f t="shared" si="3"/>
        <v>24980.3076923077</v>
      </c>
    </row>
    <row r="47" s="4" customFormat="1" spans="1:10">
      <c r="A47" s="4" t="str">
        <f>DATA!A47</f>
        <v>EMP046</v>
      </c>
      <c r="B47" s="4" t="str">
        <f>DATA!B47</f>
        <v>Jo ann Tolliday</v>
      </c>
      <c r="C47" s="4" t="str">
        <f>DATA!C47</f>
        <v>Services</v>
      </c>
      <c r="D47" s="4">
        <f>DATA!D47</f>
        <v>56371</v>
      </c>
      <c r="E47" s="4">
        <f>DATA!E47</f>
        <v>21</v>
      </c>
      <c r="F47" s="4">
        <f>DATA!F47</f>
        <v>2</v>
      </c>
      <c r="G47" s="4">
        <f t="shared" si="0"/>
        <v>23</v>
      </c>
      <c r="H47" s="4">
        <f t="shared" si="1"/>
        <v>2450.91304347826</v>
      </c>
      <c r="I47" s="4">
        <f t="shared" si="2"/>
        <v>4901.82608695652</v>
      </c>
      <c r="J47" s="4">
        <f t="shared" si="3"/>
        <v>51469.1739130435</v>
      </c>
    </row>
    <row r="48" s="4" customFormat="1" spans="1:10">
      <c r="A48" s="4" t="str">
        <f>DATA!A48</f>
        <v>EMP047</v>
      </c>
      <c r="B48" s="4" t="str">
        <f>DATA!B48</f>
        <v>Clareta Sexstone</v>
      </c>
      <c r="C48" s="4" t="str">
        <f>DATA!C48</f>
        <v>Sales</v>
      </c>
      <c r="D48" s="4">
        <f>DATA!D48</f>
        <v>32293</v>
      </c>
      <c r="E48" s="4">
        <f>DATA!E48</f>
        <v>21</v>
      </c>
      <c r="F48" s="4">
        <f>DATA!F48</f>
        <v>0</v>
      </c>
      <c r="G48" s="4">
        <f t="shared" si="0"/>
        <v>21</v>
      </c>
      <c r="H48" s="4">
        <f t="shared" si="1"/>
        <v>1537.7619047619</v>
      </c>
      <c r="I48" s="4">
        <f t="shared" si="2"/>
        <v>0</v>
      </c>
      <c r="J48" s="4">
        <f t="shared" si="3"/>
        <v>32293</v>
      </c>
    </row>
    <row r="49" s="4" customFormat="1" spans="1:10">
      <c r="A49" s="4" t="str">
        <f>DATA!A49</f>
        <v>EMP048</v>
      </c>
      <c r="B49" s="4" t="str">
        <f>DATA!B49</f>
        <v>Pammy Halbord</v>
      </c>
      <c r="C49" s="4" t="str">
        <f>DATA!C49</f>
        <v>Support</v>
      </c>
      <c r="D49" s="4">
        <f>DATA!D49</f>
        <v>103283</v>
      </c>
      <c r="E49" s="4">
        <f>DATA!E49</f>
        <v>22</v>
      </c>
      <c r="F49" s="4">
        <f>DATA!F49</f>
        <v>5</v>
      </c>
      <c r="G49" s="4">
        <f t="shared" si="0"/>
        <v>27</v>
      </c>
      <c r="H49" s="4">
        <f t="shared" si="1"/>
        <v>3825.2962962963</v>
      </c>
      <c r="I49" s="4">
        <f t="shared" si="2"/>
        <v>19126.4814814815</v>
      </c>
      <c r="J49" s="4">
        <f t="shared" si="3"/>
        <v>84156.5185185185</v>
      </c>
    </row>
    <row r="50" s="4" customFormat="1" spans="1:10">
      <c r="A50" s="4" t="str">
        <f>DATA!A50</f>
        <v>EMP049</v>
      </c>
      <c r="B50" s="4" t="str">
        <f>DATA!B50</f>
        <v>Isidro Predohl</v>
      </c>
      <c r="C50" s="4" t="str">
        <f>DATA!C50</f>
        <v>Sales</v>
      </c>
      <c r="D50" s="4">
        <f>DATA!D50</f>
        <v>115063</v>
      </c>
      <c r="E50" s="4">
        <f>DATA!E50</f>
        <v>20</v>
      </c>
      <c r="F50" s="4">
        <f>DATA!F50</f>
        <v>2</v>
      </c>
      <c r="G50" s="4">
        <f t="shared" si="0"/>
        <v>22</v>
      </c>
      <c r="H50" s="4">
        <f t="shared" si="1"/>
        <v>5230.13636363636</v>
      </c>
      <c r="I50" s="4">
        <f t="shared" si="2"/>
        <v>10460.2727272727</v>
      </c>
      <c r="J50" s="4">
        <f t="shared" si="3"/>
        <v>104602.727272727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tabSelected="1" zoomScale="106" zoomScaleNormal="106" topLeftCell="E4" workbookViewId="0">
      <selection activeCell="S68" sqref="S68"/>
    </sheetView>
  </sheetViews>
  <sheetFormatPr defaultColWidth="8.8" defaultRowHeight="13.8" outlineLevelCol="5"/>
  <cols>
    <col min="1" max="1" width="26.6" customWidth="1"/>
    <col min="2" max="2" width="15.2" customWidth="1"/>
    <col min="3" max="3" width="22.2" customWidth="1"/>
    <col min="4" max="4" width="29.8" customWidth="1"/>
    <col min="5" max="6" width="24.7" customWidth="1"/>
  </cols>
  <sheetData>
    <row r="1" spans="1:6">
      <c r="A1" t="s">
        <v>121</v>
      </c>
      <c r="B1" t="s">
        <v>122</v>
      </c>
      <c r="D1" t="s">
        <v>123</v>
      </c>
      <c r="E1" t="s">
        <v>124</v>
      </c>
      <c r="F1" t="s">
        <v>125</v>
      </c>
    </row>
    <row r="2" spans="1:6">
      <c r="A2">
        <f>COUNTA(DATA!A2:A51)</f>
        <v>50</v>
      </c>
      <c r="B2" s="1">
        <f>SUM(Payroll!D2:D100)</f>
        <v>4133189</v>
      </c>
      <c r="C2" s="1">
        <f>SUM(Payroll!J2:J100)</f>
        <v>3718216.27361196</v>
      </c>
      <c r="D2">
        <f>AVERAGE(Payroll!J2:J100)</f>
        <v>75881.964767591</v>
      </c>
      <c r="E2" s="1">
        <f>SUM(Payroll!E2:E100)</f>
        <v>1053</v>
      </c>
      <c r="F2" s="1">
        <f>SUM(Payroll!F2:F100)</f>
        <v>128</v>
      </c>
    </row>
    <row r="3" spans="1:6">
      <c r="A3">
        <f>COUNTA(DATA!A3:A52)</f>
        <v>49</v>
      </c>
      <c r="B3" s="1">
        <f>SUM(Payroll!D3:D101)</f>
        <v>4112102</v>
      </c>
      <c r="C3" s="1">
        <f>SUM(Payroll!J3:J101)</f>
        <v>3699237.97361196</v>
      </c>
      <c r="D3">
        <f>AVERAGE(Payroll!J3:J101)</f>
        <v>77067.4577835825</v>
      </c>
      <c r="E3" s="1">
        <f>SUM(Payroll!E3:E101)</f>
        <v>1035</v>
      </c>
      <c r="F3" s="1">
        <f>SUM(Payroll!F3:F101)</f>
        <v>126</v>
      </c>
    </row>
    <row r="4" spans="1:6">
      <c r="A4">
        <f>COUNTA(DATA!A4:A53)</f>
        <v>48</v>
      </c>
      <c r="B4" s="1">
        <f>SUM(Payroll!D4:D102)</f>
        <v>4026582</v>
      </c>
      <c r="C4" s="1">
        <f>SUM(Payroll!J4:J102)</f>
        <v>3632309.27795979</v>
      </c>
      <c r="D4">
        <f>AVERAGE(Payroll!J4:J102)</f>
        <v>77283.176126804</v>
      </c>
      <c r="E4" s="1">
        <f>SUM(Payroll!E4:E102)</f>
        <v>1017</v>
      </c>
      <c r="F4" s="1">
        <f>SUM(Payroll!F4:F102)</f>
        <v>121</v>
      </c>
    </row>
    <row r="5" spans="1:6">
      <c r="A5">
        <f>COUNTA(DATA!A5:A54)</f>
        <v>47</v>
      </c>
      <c r="B5" s="1">
        <f>SUM(Payroll!D5:D103)</f>
        <v>3940978</v>
      </c>
      <c r="C5" s="1">
        <f>SUM(Payroll!J5:J103)</f>
        <v>3556582.66257517</v>
      </c>
      <c r="D5">
        <f>AVERAGE(Payroll!J5:J103)</f>
        <v>77317.0144038081</v>
      </c>
      <c r="E5" s="1">
        <f>SUM(Payroll!E5:E103)</f>
        <v>994</v>
      </c>
      <c r="F5" s="1">
        <f>SUM(Payroll!F5:F103)</f>
        <v>118</v>
      </c>
    </row>
    <row r="6" spans="1:6">
      <c r="A6">
        <f>COUNTA(DATA!A6:A55)</f>
        <v>46</v>
      </c>
      <c r="B6" s="1">
        <f>SUM(Payroll!D6:D104)</f>
        <v>3812163</v>
      </c>
      <c r="C6" s="1">
        <f>SUM(Payroll!J6:J104)</f>
        <v>3448378.06257517</v>
      </c>
      <c r="D6">
        <f>AVERAGE(Payroll!J6:J104)</f>
        <v>76630.6236127816</v>
      </c>
      <c r="E6" s="1">
        <f>SUM(Payroll!E6:E104)</f>
        <v>973</v>
      </c>
      <c r="F6" s="1">
        <f>SUM(Payroll!F6:F104)</f>
        <v>114</v>
      </c>
    </row>
    <row r="7" spans="1:6">
      <c r="A7">
        <f>COUNTA(DATA!A7:A56)</f>
        <v>45</v>
      </c>
      <c r="B7" s="1">
        <f>SUM(Payroll!D7:D105)</f>
        <v>3733769</v>
      </c>
      <c r="C7" s="1">
        <f>SUM(Payroll!J7:J105)</f>
        <v>3381597.9885011</v>
      </c>
      <c r="D7">
        <f>AVERAGE(Payroll!J7:J105)</f>
        <v>76854.4997386613</v>
      </c>
      <c r="E7" s="1">
        <f>SUM(Payroll!E7:E105)</f>
        <v>950</v>
      </c>
      <c r="F7" s="1">
        <f>SUM(Payroll!F7:F105)</f>
        <v>110</v>
      </c>
    </row>
    <row r="8" spans="1:6">
      <c r="A8">
        <f>COUNTA(DATA!A8:A57)</f>
        <v>44</v>
      </c>
      <c r="B8" s="1">
        <f>SUM(Payroll!D8:D106)</f>
        <v>3609111</v>
      </c>
      <c r="C8" s="1">
        <f>SUM(Payroll!J8:J106)</f>
        <v>3269835.64367351</v>
      </c>
      <c r="D8">
        <f>AVERAGE(Payroll!J8:J106)</f>
        <v>76042.6893877561</v>
      </c>
      <c r="E8" s="1">
        <f>SUM(Payroll!E8:E106)</f>
        <v>924</v>
      </c>
      <c r="F8" s="1">
        <f>SUM(Payroll!F8:F106)</f>
        <v>107</v>
      </c>
    </row>
    <row r="9" spans="1:6">
      <c r="A9">
        <f>COUNTA(DATA!A9:A58)</f>
        <v>43</v>
      </c>
      <c r="B9" s="1">
        <f>SUM(Payroll!D9:D107)</f>
        <v>3544631</v>
      </c>
      <c r="C9" s="1">
        <f>SUM(Payroll!J9:J107)</f>
        <v>3214567.07224494</v>
      </c>
      <c r="D9">
        <f>AVERAGE(Payroll!J9:J107)</f>
        <v>76537.3112439271</v>
      </c>
      <c r="E9" s="1">
        <f>SUM(Payroll!E9:E107)</f>
        <v>906</v>
      </c>
      <c r="F9" s="1">
        <f>SUM(Payroll!F9:F107)</f>
        <v>104</v>
      </c>
    </row>
    <row r="10" spans="1:6">
      <c r="A10">
        <f>COUNTA(DATA!A10:A59)</f>
        <v>42</v>
      </c>
      <c r="B10" s="1">
        <f>SUM(Payroll!D10:D108)</f>
        <v>3394996</v>
      </c>
      <c r="C10" s="1">
        <f>SUM(Payroll!J10:J108)</f>
        <v>3064932.07224494</v>
      </c>
      <c r="D10">
        <f>AVERAGE(Payroll!J10:J108)</f>
        <v>74754.4407864619</v>
      </c>
      <c r="E10" s="1">
        <f>SUM(Payroll!E10:E108)</f>
        <v>880</v>
      </c>
      <c r="F10" s="1">
        <f>SUM(Payroll!F10:F108)</f>
        <v>104</v>
      </c>
    </row>
    <row r="11" spans="1:6">
      <c r="A11">
        <f>COUNTA(DATA!A11:A60)</f>
        <v>41</v>
      </c>
      <c r="B11" s="1">
        <f>SUM(Payroll!D11:D109)</f>
        <v>3366645</v>
      </c>
      <c r="C11" s="1">
        <f>SUM(Payroll!J11:J109)</f>
        <v>3038681.14631901</v>
      </c>
      <c r="D11">
        <f>AVERAGE(Payroll!J11:J109)</f>
        <v>75967.0286579753</v>
      </c>
      <c r="E11" s="1">
        <f>SUM(Payroll!E11:E109)</f>
        <v>855</v>
      </c>
      <c r="F11" s="1">
        <f>SUM(Payroll!F11:F109)</f>
        <v>102</v>
      </c>
    </row>
    <row r="12" spans="1:6">
      <c r="A12">
        <f>COUNTA(DATA!A12:A61)</f>
        <v>40</v>
      </c>
      <c r="B12" s="1">
        <f>SUM(Payroll!D12:D110)</f>
        <v>3256197</v>
      </c>
      <c r="C12" s="1">
        <f>SUM(Payroll!J12:J110)</f>
        <v>2932481.14631901</v>
      </c>
      <c r="D12">
        <f>AVERAGE(Payroll!J12:J110)</f>
        <v>75191.8242645901</v>
      </c>
      <c r="E12" s="1">
        <f>SUM(Payroll!E12:E110)</f>
        <v>830</v>
      </c>
      <c r="F12" s="1">
        <f>SUM(Payroll!F12:F110)</f>
        <v>101</v>
      </c>
    </row>
    <row r="13" spans="1:6">
      <c r="A13">
        <f>COUNTA(DATA!A13:A62)</f>
        <v>39</v>
      </c>
      <c r="B13" s="1">
        <f>SUM(Payroll!D13:D111)</f>
        <v>3193730</v>
      </c>
      <c r="C13" s="1">
        <f>SUM(Payroll!J13:J111)</f>
        <v>2878938.00346187</v>
      </c>
      <c r="D13">
        <f>AVERAGE(Payroll!J13:J111)</f>
        <v>75761.5264068913</v>
      </c>
      <c r="E13" s="1">
        <f>SUM(Payroll!E13:E111)</f>
        <v>812</v>
      </c>
      <c r="F13" s="1">
        <f>SUM(Payroll!F13:F111)</f>
        <v>98</v>
      </c>
    </row>
    <row r="14" spans="1:6">
      <c r="A14">
        <f>COUNTA(DATA!A14:A63)</f>
        <v>38</v>
      </c>
      <c r="B14" s="1">
        <f>SUM(Payroll!D14:D112)</f>
        <v>3175831</v>
      </c>
      <c r="C14" s="1">
        <f>SUM(Payroll!J14:J112)</f>
        <v>2861933.95346187</v>
      </c>
      <c r="D14">
        <f>AVERAGE(Payroll!J14:J112)</f>
        <v>77349.5663097803</v>
      </c>
      <c r="E14" s="1">
        <f>SUM(Payroll!E14:E112)</f>
        <v>793</v>
      </c>
      <c r="F14" s="1">
        <f>SUM(Payroll!F14:F112)</f>
        <v>97</v>
      </c>
    </row>
    <row r="15" spans="1:6">
      <c r="A15">
        <f>COUNTA(DATA!A15:A64)</f>
        <v>37</v>
      </c>
      <c r="B15" s="1">
        <f>SUM(Payroll!D15:D113)</f>
        <v>3066128</v>
      </c>
      <c r="C15" s="1">
        <f>SUM(Payroll!J15:J113)</f>
        <v>2769783.43346187</v>
      </c>
      <c r="D15">
        <f>AVERAGE(Payroll!J15:J113)</f>
        <v>76938.4287072742</v>
      </c>
      <c r="E15" s="1">
        <f>SUM(Payroll!E15:E113)</f>
        <v>772</v>
      </c>
      <c r="F15" s="1">
        <f>SUM(Payroll!F15:F113)</f>
        <v>93</v>
      </c>
    </row>
    <row r="16" spans="1:6">
      <c r="A16">
        <f>COUNTA(DATA!A16:A65)</f>
        <v>36</v>
      </c>
      <c r="B16" s="1">
        <f>SUM(Payroll!D16:D114)</f>
        <v>3024396</v>
      </c>
      <c r="C16" s="1">
        <f>SUM(Payroll!J16:J114)</f>
        <v>2729865.86824448</v>
      </c>
      <c r="D16">
        <f>AVERAGE(Payroll!J16:J114)</f>
        <v>77996.167664128</v>
      </c>
      <c r="E16" s="1">
        <f>SUM(Payroll!E16:E114)</f>
        <v>750</v>
      </c>
      <c r="F16" s="1">
        <f>SUM(Payroll!F16:F114)</f>
        <v>92</v>
      </c>
    </row>
    <row r="17" spans="1:6">
      <c r="A17">
        <f>COUNTA(DATA!A17:A66)</f>
        <v>35</v>
      </c>
      <c r="B17" s="1">
        <f>SUM(Payroll!D17:D115)</f>
        <v>2948797</v>
      </c>
      <c r="C17" s="1">
        <f>SUM(Payroll!J17:J115)</f>
        <v>2666866.70157781</v>
      </c>
      <c r="D17">
        <f>AVERAGE(Payroll!J17:J115)</f>
        <v>78437.2559287592</v>
      </c>
      <c r="E17" s="1">
        <f>SUM(Payroll!E17:E115)</f>
        <v>725</v>
      </c>
      <c r="F17" s="1">
        <f>SUM(Payroll!F17:F115)</f>
        <v>87</v>
      </c>
    </row>
    <row r="18" spans="1:6">
      <c r="A18">
        <f>COUNTA(DATA!A18:A67)</f>
        <v>34</v>
      </c>
      <c r="B18" s="1">
        <f>SUM(Payroll!D18:D116)</f>
        <v>2803627</v>
      </c>
      <c r="C18" s="1">
        <f>SUM(Payroll!J18:J116)</f>
        <v>2521696.70157781</v>
      </c>
      <c r="D18">
        <f>AVERAGE(Payroll!J18:J116)</f>
        <v>76415.051562964</v>
      </c>
      <c r="E18" s="1">
        <f>SUM(Payroll!E18:E116)</f>
        <v>700</v>
      </c>
      <c r="F18" s="1">
        <f>SUM(Payroll!F18:F116)</f>
        <v>87</v>
      </c>
    </row>
    <row r="19" spans="1:6">
      <c r="A19">
        <f>COUNTA(DATA!A19:A68)</f>
        <v>33</v>
      </c>
      <c r="B19" s="1">
        <f>SUM(Payroll!D19:D117)</f>
        <v>2654769</v>
      </c>
      <c r="C19" s="1">
        <f>SUM(Payroll!J19:J117)</f>
        <v>2372838.70157781</v>
      </c>
      <c r="D19">
        <f>AVERAGE(Payroll!J19:J117)</f>
        <v>74151.2094243067</v>
      </c>
      <c r="E19" s="1">
        <f>SUM(Payroll!E19:E117)</f>
        <v>677</v>
      </c>
      <c r="F19" s="1">
        <f>SUM(Payroll!F19:F117)</f>
        <v>87</v>
      </c>
    </row>
    <row r="20" spans="1:6">
      <c r="A20">
        <f>COUNTA(DATA!A20:A69)</f>
        <v>32</v>
      </c>
      <c r="B20" s="1">
        <f>SUM(Payroll!D20:D118)</f>
        <v>2624962</v>
      </c>
      <c r="C20" s="1">
        <f>SUM(Payroll!J20:J118)</f>
        <v>2344522.05157781</v>
      </c>
      <c r="D20">
        <f>AVERAGE(Payroll!J20:J118)</f>
        <v>75629.7435992843</v>
      </c>
      <c r="E20" s="1">
        <f>SUM(Payroll!E20:E118)</f>
        <v>658</v>
      </c>
      <c r="F20" s="1">
        <f>SUM(Payroll!F20:F118)</f>
        <v>86</v>
      </c>
    </row>
    <row r="21" spans="1:6">
      <c r="A21">
        <f>COUNTA(DATA!A21:A70)</f>
        <v>31</v>
      </c>
      <c r="B21" s="1">
        <f>SUM(Payroll!D21:D119)</f>
        <v>2511261</v>
      </c>
      <c r="C21" s="1">
        <f>SUM(Payroll!J21:J119)</f>
        <v>2239243.34787411</v>
      </c>
      <c r="D21">
        <f>AVERAGE(Payroll!J21:J119)</f>
        <v>74641.444929137</v>
      </c>
      <c r="E21" s="1">
        <f>SUM(Payroll!E21:E119)</f>
        <v>633</v>
      </c>
      <c r="F21" s="1">
        <f>SUM(Payroll!F21:F119)</f>
        <v>84</v>
      </c>
    </row>
    <row r="22" spans="1:6">
      <c r="A22">
        <f>COUNTA(DATA!A22:A71)</f>
        <v>30</v>
      </c>
      <c r="B22" s="1">
        <f>SUM(Payroll!D22:D120)</f>
        <v>2376628</v>
      </c>
      <c r="C22" s="1">
        <f>SUM(Payroll!J22:J120)</f>
        <v>2123843.6335884</v>
      </c>
      <c r="D22">
        <f>AVERAGE(Payroll!J22:J120)</f>
        <v>73235.9873651171</v>
      </c>
      <c r="E22" s="1">
        <f>SUM(Payroll!E22:E120)</f>
        <v>609</v>
      </c>
      <c r="F22" s="1">
        <f>SUM(Payroll!F22:F120)</f>
        <v>80</v>
      </c>
    </row>
    <row r="23" spans="1:6">
      <c r="A23">
        <f>COUNTA(DATA!A23:A72)</f>
        <v>29</v>
      </c>
      <c r="B23" s="1">
        <f>SUM(Payroll!D23:D121)</f>
        <v>2349263</v>
      </c>
      <c r="C23" s="1">
        <f>SUM(Payroll!J23:J121)</f>
        <v>2099215.1335884</v>
      </c>
      <c r="D23">
        <f>AVERAGE(Payroll!J23:J121)</f>
        <v>74971.9690567284</v>
      </c>
      <c r="E23" s="1">
        <f>SUM(Payroll!E23:E121)</f>
        <v>591</v>
      </c>
      <c r="F23" s="1">
        <f>SUM(Payroll!F23:F121)</f>
        <v>78</v>
      </c>
    </row>
    <row r="24" spans="1:6">
      <c r="A24">
        <f>COUNTA(DATA!A24:A73)</f>
        <v>28</v>
      </c>
      <c r="B24" s="1">
        <f>SUM(Payroll!D24:D122)</f>
        <v>2229801</v>
      </c>
      <c r="C24" s="1">
        <f>SUM(Payroll!J24:J122)</f>
        <v>1979753.1335884</v>
      </c>
      <c r="D24">
        <f>AVERAGE(Payroll!J24:J122)</f>
        <v>73324.1901329036</v>
      </c>
      <c r="E24" s="1">
        <f>SUM(Payroll!E24:E122)</f>
        <v>570</v>
      </c>
      <c r="F24" s="1">
        <f>SUM(Payroll!F24:F122)</f>
        <v>78</v>
      </c>
    </row>
    <row r="25" spans="1:6">
      <c r="A25">
        <f>COUNTA(DATA!A25:A74)</f>
        <v>27</v>
      </c>
      <c r="B25" s="1">
        <f>SUM(Payroll!D25:D123)</f>
        <v>2090335</v>
      </c>
      <c r="C25" s="1">
        <f>SUM(Payroll!J25:J123)</f>
        <v>1864542.09011014</v>
      </c>
      <c r="D25">
        <f>AVERAGE(Payroll!J25:J123)</f>
        <v>71713.1573119283</v>
      </c>
      <c r="E25" s="1">
        <f>SUM(Payroll!E25:E123)</f>
        <v>551</v>
      </c>
      <c r="F25" s="1">
        <f>SUM(Payroll!F25:F123)</f>
        <v>74</v>
      </c>
    </row>
    <row r="26" spans="1:6">
      <c r="A26">
        <f>COUNTA(DATA!A26:A75)</f>
        <v>26</v>
      </c>
      <c r="B26" s="1">
        <f>SUM(Payroll!D26:D124)</f>
        <v>1998860</v>
      </c>
      <c r="C26" s="1">
        <f>SUM(Payroll!J26:J124)</f>
        <v>1777423.04249109</v>
      </c>
      <c r="D26">
        <f>AVERAGE(Payroll!J26:J124)</f>
        <v>71096.9216996435</v>
      </c>
      <c r="E26" s="1">
        <f>SUM(Payroll!E26:E124)</f>
        <v>531</v>
      </c>
      <c r="F26" s="1">
        <f>SUM(Payroll!F26:F124)</f>
        <v>73</v>
      </c>
    </row>
    <row r="27" spans="1:6">
      <c r="A27">
        <f>COUNTA(DATA!A27:A76)</f>
        <v>25</v>
      </c>
      <c r="B27" s="1">
        <f>SUM(Payroll!D27:D125)</f>
        <v>1919646</v>
      </c>
      <c r="C27" s="1">
        <f>SUM(Payroll!J27:J125)</f>
        <v>1710883.28249109</v>
      </c>
      <c r="D27">
        <f>AVERAGE(Payroll!J27:J125)</f>
        <v>71286.8034371286</v>
      </c>
      <c r="E27" s="1">
        <f>SUM(Payroll!E27:E125)</f>
        <v>510</v>
      </c>
      <c r="F27" s="1">
        <f>SUM(Payroll!F27:F125)</f>
        <v>69</v>
      </c>
    </row>
    <row r="28" spans="1:6">
      <c r="A28">
        <f>COUNTA(DATA!A28:A77)</f>
        <v>24</v>
      </c>
      <c r="B28" s="1">
        <f>SUM(Payroll!D28:D126)</f>
        <v>1833313</v>
      </c>
      <c r="C28" s="1">
        <f>SUM(Payroll!J28:J126)</f>
        <v>1640247.191582</v>
      </c>
      <c r="D28">
        <f>AVERAGE(Payroll!J28:J126)</f>
        <v>71315.0952861738</v>
      </c>
      <c r="E28" s="1">
        <f>SUM(Payroll!E28:E126)</f>
        <v>492</v>
      </c>
      <c r="F28" s="1">
        <f>SUM(Payroll!F28:F126)</f>
        <v>65</v>
      </c>
    </row>
    <row r="29" spans="1:6">
      <c r="A29">
        <f>COUNTA(DATA!A29:A78)</f>
        <v>23</v>
      </c>
      <c r="B29" s="1">
        <f>SUM(Payroll!D29:D127)</f>
        <v>1783822</v>
      </c>
      <c r="C29" s="1">
        <f>SUM(Payroll!J29:J127)</f>
        <v>1595705.291582</v>
      </c>
      <c r="D29">
        <f>AVERAGE(Payroll!J29:J127)</f>
        <v>72532.0587082726</v>
      </c>
      <c r="E29" s="1">
        <f>SUM(Payroll!E29:E127)</f>
        <v>474</v>
      </c>
      <c r="F29" s="1">
        <f>SUM(Payroll!F29:F127)</f>
        <v>63</v>
      </c>
    </row>
    <row r="30" spans="1:6">
      <c r="A30">
        <f>COUNTA(DATA!A30:A79)</f>
        <v>22</v>
      </c>
      <c r="B30" s="1">
        <f>SUM(Payroll!D30:D128)</f>
        <v>1677796</v>
      </c>
      <c r="C30" s="1">
        <f>SUM(Payroll!J30:J128)</f>
        <v>1504137.38249109</v>
      </c>
      <c r="D30">
        <f>AVERAGE(Payroll!J30:J128)</f>
        <v>71625.5896424327</v>
      </c>
      <c r="E30" s="1">
        <f>SUM(Payroll!E30:E128)</f>
        <v>455</v>
      </c>
      <c r="F30" s="1">
        <f>SUM(Payroll!F30:F128)</f>
        <v>60</v>
      </c>
    </row>
    <row r="31" spans="1:6">
      <c r="A31">
        <f>COUNTA(DATA!A31:A80)</f>
        <v>21</v>
      </c>
      <c r="B31" s="1">
        <f>SUM(Payroll!D31:D129)</f>
        <v>1615088</v>
      </c>
      <c r="C31" s="1">
        <f>SUM(Payroll!J31:J129)</f>
        <v>1452830.83703654</v>
      </c>
      <c r="D31">
        <f>AVERAGE(Payroll!J31:J129)</f>
        <v>72641.5418518271</v>
      </c>
      <c r="E31" s="1">
        <f>SUM(Payroll!E31:E129)</f>
        <v>437</v>
      </c>
      <c r="F31" s="1">
        <f>SUM(Payroll!F31:F129)</f>
        <v>56</v>
      </c>
    </row>
    <row r="32" spans="1:6">
      <c r="A32">
        <f>COUNTA(DATA!A32:A81)</f>
        <v>20</v>
      </c>
      <c r="B32" s="1">
        <f>SUM(Payroll!D32:D130)</f>
        <v>1503626</v>
      </c>
      <c r="C32" s="1">
        <f>SUM(Payroll!J32:J130)</f>
        <v>1345827.31703654</v>
      </c>
      <c r="D32">
        <f>AVERAGE(Payroll!J32:J130)</f>
        <v>70833.0166861338</v>
      </c>
      <c r="E32" s="1">
        <f>SUM(Payroll!E32:E130)</f>
        <v>413</v>
      </c>
      <c r="F32" s="1">
        <f>SUM(Payroll!F32:F130)</f>
        <v>55</v>
      </c>
    </row>
    <row r="33" spans="1:6">
      <c r="A33">
        <f>COUNTA(DATA!A33:A82)</f>
        <v>19</v>
      </c>
      <c r="B33" s="1">
        <f>SUM(Payroll!D33:D131)</f>
        <v>1376428</v>
      </c>
      <c r="C33" s="1">
        <f>SUM(Payroll!J33:J131)</f>
        <v>1240750.70834089</v>
      </c>
      <c r="D33">
        <f>AVERAGE(Payroll!J33:J131)</f>
        <v>68930.5949078272</v>
      </c>
      <c r="E33" s="1">
        <f>SUM(Payroll!E33:E131)</f>
        <v>394</v>
      </c>
      <c r="F33" s="1">
        <f>SUM(Payroll!F33:F131)</f>
        <v>51</v>
      </c>
    </row>
    <row r="34" spans="1:6">
      <c r="A34">
        <f>COUNTA(DATA!A34:A83)</f>
        <v>18</v>
      </c>
      <c r="B34" s="1">
        <f>SUM(Payroll!D34:D132)</f>
        <v>1342386</v>
      </c>
      <c r="C34" s="1">
        <f>SUM(Payroll!J34:J132)</f>
        <v>1211751.96760015</v>
      </c>
      <c r="D34">
        <f>AVERAGE(Payroll!J34:J132)</f>
        <v>71279.5275058911</v>
      </c>
      <c r="E34" s="1">
        <f>SUM(Payroll!E34:E132)</f>
        <v>371</v>
      </c>
      <c r="F34" s="1">
        <f>SUM(Payroll!F34:F132)</f>
        <v>47</v>
      </c>
    </row>
    <row r="35" spans="1:6">
      <c r="A35">
        <f>COUNTA(DATA!A35:A84)</f>
        <v>17</v>
      </c>
      <c r="B35" s="1">
        <f>SUM(Payroll!D35:D133)</f>
        <v>1237942</v>
      </c>
      <c r="C35" s="1">
        <f>SUM(Payroll!J35:J133)</f>
        <v>1122781.15278533</v>
      </c>
      <c r="D35">
        <f>AVERAGE(Payroll!J35:J133)</f>
        <v>70173.8220490834</v>
      </c>
      <c r="E35" s="1">
        <f>SUM(Payroll!E35:E133)</f>
        <v>348</v>
      </c>
      <c r="F35" s="1">
        <f>SUM(Payroll!F35:F133)</f>
        <v>43</v>
      </c>
    </row>
    <row r="36" spans="1:6">
      <c r="A36">
        <f>COUNTA(DATA!A36:A85)</f>
        <v>16</v>
      </c>
      <c r="B36" s="1">
        <f>SUM(Payroll!D36:D134)</f>
        <v>1102115</v>
      </c>
      <c r="C36" s="1">
        <f>SUM(Payroll!J36:J134)</f>
        <v>986954.152785334</v>
      </c>
      <c r="D36">
        <f>AVERAGE(Payroll!J36:J134)</f>
        <v>65796.9435190223</v>
      </c>
      <c r="E36" s="1">
        <f>SUM(Payroll!E36:E134)</f>
        <v>325</v>
      </c>
      <c r="F36" s="1">
        <f>SUM(Payroll!F36:F134)</f>
        <v>43</v>
      </c>
    </row>
    <row r="37" spans="1:6">
      <c r="A37">
        <f>COUNTA(DATA!A37:A86)</f>
        <v>15</v>
      </c>
      <c r="B37" s="1">
        <f>SUM(Payroll!D37:D135)</f>
        <v>1021540</v>
      </c>
      <c r="C37" s="1">
        <f>SUM(Payroll!J37:J135)</f>
        <v>906379.152785334</v>
      </c>
      <c r="D37">
        <f>AVERAGE(Payroll!J37:J135)</f>
        <v>64741.3680560953</v>
      </c>
      <c r="E37" s="1">
        <f>SUM(Payroll!E37:E135)</f>
        <v>304</v>
      </c>
      <c r="F37" s="1">
        <f>SUM(Payroll!F37:F135)</f>
        <v>43</v>
      </c>
    </row>
    <row r="38" spans="1:6">
      <c r="A38">
        <f>COUNTA(DATA!A38:A87)</f>
        <v>14</v>
      </c>
      <c r="B38" s="1">
        <f>SUM(Payroll!D38:D136)</f>
        <v>962198</v>
      </c>
      <c r="C38" s="1">
        <f>SUM(Payroll!J38:J136)</f>
        <v>855514.581356763</v>
      </c>
      <c r="D38">
        <f>AVERAGE(Payroll!J38:J136)</f>
        <v>65808.8139505202</v>
      </c>
      <c r="E38" s="1">
        <f>SUM(Payroll!E38:E136)</f>
        <v>280</v>
      </c>
      <c r="F38" s="1">
        <f>SUM(Payroll!F38:F136)</f>
        <v>39</v>
      </c>
    </row>
    <row r="39" spans="1:6">
      <c r="A39">
        <f>COUNTA(DATA!A39:A88)</f>
        <v>13</v>
      </c>
      <c r="B39" s="1">
        <f>SUM(Payroll!D39:D137)</f>
        <v>880016</v>
      </c>
      <c r="C39" s="1">
        <f>SUM(Payroll!J39:J137)</f>
        <v>787501.89170159</v>
      </c>
      <c r="D39">
        <f>AVERAGE(Payroll!J39:J137)</f>
        <v>65625.1576417992</v>
      </c>
      <c r="E39" s="1">
        <f>SUM(Payroll!E39:E137)</f>
        <v>256</v>
      </c>
      <c r="F39" s="1">
        <f>SUM(Payroll!F39:F137)</f>
        <v>34</v>
      </c>
    </row>
    <row r="40" spans="1:6">
      <c r="A40">
        <f>COUNTA(DATA!A40:A89)</f>
        <v>12</v>
      </c>
      <c r="B40" s="1">
        <f>SUM(Payroll!D40:D138)</f>
        <v>750420</v>
      </c>
      <c r="C40" s="1">
        <f>SUM(Payroll!J40:J138)</f>
        <v>672859.276316975</v>
      </c>
      <c r="D40">
        <f>AVERAGE(Payroll!J40:J138)</f>
        <v>61169.025119725</v>
      </c>
      <c r="E40" s="1">
        <f>SUM(Payroll!E40:E138)</f>
        <v>233</v>
      </c>
      <c r="F40" s="1">
        <f>SUM(Payroll!F40:F138)</f>
        <v>31</v>
      </c>
    </row>
    <row r="41" spans="1:6">
      <c r="A41">
        <f>COUNTA(DATA!A41:A90)</f>
        <v>11</v>
      </c>
      <c r="B41" s="1">
        <f>SUM(Payroll!D41:D139)</f>
        <v>721173</v>
      </c>
      <c r="C41" s="1">
        <f>SUM(Payroll!J41:J139)</f>
        <v>646986.930163129</v>
      </c>
      <c r="D41">
        <f>AVERAGE(Payroll!J41:J139)</f>
        <v>64698.6930163129</v>
      </c>
      <c r="E41" s="1">
        <f>SUM(Payroll!E41:E139)</f>
        <v>210</v>
      </c>
      <c r="F41" s="1">
        <f>SUM(Payroll!F41:F139)</f>
        <v>28</v>
      </c>
    </row>
    <row r="42" spans="1:6">
      <c r="A42">
        <f>COUNTA(DATA!A42:A91)</f>
        <v>10</v>
      </c>
      <c r="B42" s="1">
        <f>SUM(Payroll!D42:D140)</f>
        <v>695458</v>
      </c>
      <c r="C42" s="1">
        <f>SUM(Payroll!J42:J140)</f>
        <v>626217.122470821</v>
      </c>
      <c r="D42">
        <f>AVERAGE(Payroll!J42:J140)</f>
        <v>69579.6802745357</v>
      </c>
      <c r="E42" s="1">
        <f>SUM(Payroll!E42:E140)</f>
        <v>189</v>
      </c>
      <c r="F42" s="1">
        <f>SUM(Payroll!F42:F140)</f>
        <v>23</v>
      </c>
    </row>
    <row r="43" spans="1:6">
      <c r="A43">
        <f>COUNTA(DATA!A43:A92)</f>
        <v>9</v>
      </c>
      <c r="B43" s="1">
        <f>SUM(Payroll!D43:D141)</f>
        <v>555039</v>
      </c>
      <c r="C43" s="1">
        <f>SUM(Payroll!J43:J141)</f>
        <v>497499.705804154</v>
      </c>
      <c r="D43">
        <f>AVERAGE(Payroll!J43:J141)</f>
        <v>62187.4632255193</v>
      </c>
      <c r="E43" s="1">
        <f>SUM(Payroll!E43:E141)</f>
        <v>167</v>
      </c>
      <c r="F43" s="1">
        <f>SUM(Payroll!F43:F141)</f>
        <v>21</v>
      </c>
    </row>
    <row r="44" spans="1:6">
      <c r="A44">
        <f>COUNTA(DATA!A44:A93)</f>
        <v>8</v>
      </c>
      <c r="B44" s="1">
        <f>SUM(Payroll!D44:D142)</f>
        <v>470340</v>
      </c>
      <c r="C44" s="1">
        <f>SUM(Payroll!J44:J142)</f>
        <v>417258.547909418</v>
      </c>
      <c r="D44">
        <f>AVERAGE(Payroll!J44:J142)</f>
        <v>59608.3639870596</v>
      </c>
      <c r="E44" s="1">
        <f>SUM(Payroll!E44:E142)</f>
        <v>149</v>
      </c>
      <c r="F44" s="1">
        <f>SUM(Payroll!F44:F142)</f>
        <v>20</v>
      </c>
    </row>
    <row r="45" spans="1:6">
      <c r="A45">
        <f>COUNTA(DATA!A45:A94)</f>
        <v>7</v>
      </c>
      <c r="B45" s="1">
        <f>SUM(Payroll!D45:D143)</f>
        <v>365354</v>
      </c>
      <c r="C45" s="1">
        <f>SUM(Payroll!J45:J143)</f>
        <v>320348.394063264</v>
      </c>
      <c r="D45">
        <f>AVERAGE(Payroll!J45:J143)</f>
        <v>53391.3990105439</v>
      </c>
      <c r="E45" s="1">
        <f>SUM(Payroll!E45:E143)</f>
        <v>125</v>
      </c>
      <c r="F45" s="1">
        <f>SUM(Payroll!F45:F143)</f>
        <v>18</v>
      </c>
    </row>
    <row r="46" spans="1:6">
      <c r="A46">
        <f>COUNTA(DATA!A46:A95)</f>
        <v>6</v>
      </c>
      <c r="B46" s="1">
        <f>SUM(Payroll!D46:D144)</f>
        <v>337938</v>
      </c>
      <c r="C46" s="1">
        <f>SUM(Payroll!J46:J144)</f>
        <v>297501.727396597</v>
      </c>
      <c r="D46">
        <f>AVERAGE(Payroll!J46:J144)</f>
        <v>59500.3454793194</v>
      </c>
      <c r="E46" s="1">
        <f>SUM(Payroll!E46:E144)</f>
        <v>105</v>
      </c>
      <c r="F46" s="1">
        <f>SUM(Payroll!F46:F144)</f>
        <v>14</v>
      </c>
    </row>
    <row r="47" spans="1:6">
      <c r="A47">
        <f>COUNTA(DATA!A47:A96)</f>
        <v>5</v>
      </c>
      <c r="B47" s="1">
        <f>SUM(Payroll!D47:D145)</f>
        <v>307010</v>
      </c>
      <c r="C47" s="1">
        <f>SUM(Payroll!J47:J145)</f>
        <v>272521.419704289</v>
      </c>
      <c r="D47">
        <f>AVERAGE(Payroll!J47:J145)</f>
        <v>68130.3549260723</v>
      </c>
      <c r="E47" s="1">
        <f>SUM(Payroll!E47:E145)</f>
        <v>84</v>
      </c>
      <c r="F47" s="1">
        <f>SUM(Payroll!F47:F145)</f>
        <v>9</v>
      </c>
    </row>
    <row r="48" spans="1:6">
      <c r="A48">
        <f>COUNTA(DATA!A48:A97)</f>
        <v>4</v>
      </c>
      <c r="B48" s="1">
        <f>SUM(Payroll!D48:D146)</f>
        <v>250639</v>
      </c>
      <c r="C48" s="1">
        <f>SUM(Payroll!J48:J146)</f>
        <v>221052.245791246</v>
      </c>
      <c r="D48">
        <f>AVERAGE(Payroll!J48:J146)</f>
        <v>73684.0819304153</v>
      </c>
      <c r="E48" s="1">
        <f>SUM(Payroll!E48:E146)</f>
        <v>63</v>
      </c>
      <c r="F48" s="1">
        <f>SUM(Payroll!F48:F146)</f>
        <v>7</v>
      </c>
    </row>
    <row r="49" spans="1:6">
      <c r="A49">
        <f>COUNTA(DATA!A49:A98)</f>
        <v>3</v>
      </c>
      <c r="B49" s="1">
        <f>SUM(Payroll!D49:D147)</f>
        <v>218346</v>
      </c>
      <c r="C49" s="1">
        <f>SUM(Payroll!J49:J147)</f>
        <v>188759.245791246</v>
      </c>
      <c r="D49">
        <f>AVERAGE(Payroll!J49:J147)</f>
        <v>94379.6228956229</v>
      </c>
      <c r="E49" s="1">
        <f>SUM(Payroll!E49:E147)</f>
        <v>42</v>
      </c>
      <c r="F49" s="1">
        <f>SUM(Payroll!F49:F147)</f>
        <v>7</v>
      </c>
    </row>
    <row r="50" spans="1:6">
      <c r="A50">
        <f>COUNTA(DATA!A50:A99)</f>
        <v>2</v>
      </c>
      <c r="B50" s="1">
        <f>SUM(Payroll!D50:D148)</f>
        <v>115063</v>
      </c>
      <c r="C50" s="1">
        <f>SUM(Payroll!J50:J148)</f>
        <v>104602.727272727</v>
      </c>
      <c r="D50">
        <f>AVERAGE(Payroll!J50:J148)</f>
        <v>104602.727272727</v>
      </c>
      <c r="E50" s="1">
        <f>SUM(Payroll!E50:E148)</f>
        <v>20</v>
      </c>
      <c r="F50" s="1">
        <f>SUM(Payroll!F50:F148)</f>
        <v>2</v>
      </c>
    </row>
    <row r="51" spans="1:6">
      <c r="A51">
        <f>COUNTA(DATA!A51:A100)</f>
        <v>1</v>
      </c>
      <c r="B51" s="1">
        <f>SUM(Payroll!D51:D149)</f>
        <v>0</v>
      </c>
      <c r="C51" s="1">
        <v>0</v>
      </c>
      <c r="D51">
        <v>0</v>
      </c>
      <c r="E51">
        <v>0</v>
      </c>
      <c r="F51">
        <v>0</v>
      </c>
    </row>
    <row r="58" ht="15" spans="3:3">
      <c r="C58" s="2"/>
    </row>
    <row r="59" ht="15" spans="3:3">
      <c r="C59" s="2"/>
    </row>
    <row r="60" ht="15" spans="3:3">
      <c r="C60" s="2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Payroll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dharm</cp:lastModifiedBy>
  <dcterms:created xsi:type="dcterms:W3CDTF">2026-07-01T14:20:10Z</dcterms:created>
  <dcterms:modified xsi:type="dcterms:W3CDTF">2026-07-01T18:04:07Z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EB4965589E944499BF9D3416184CD8A4_13</vt:lpwstr>
  </property>
  <property fmtid="{D5CDD505-2E9C-101B-9397-08002B2CF9AE}" pid="3" name="KSOProductBuildVer">
    <vt:lpwstr>2057-12.2.0.23203</vt:lpwstr>
  </property>
</Properties>
</file>